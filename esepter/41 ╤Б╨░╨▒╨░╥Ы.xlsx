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<sst xmlns="http://schemas.openxmlformats.org/spreadsheetml/2006/main" count="28" uniqueCount="19">
  <si>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 xml:space="preserve">          Периоды 2 с маятниктің ұзындығын анықтаңдар.</t>
  </si>
  <si>
    <t>Есептеуіш формула</t>
  </si>
  <si>
    <t>Нәтиже кестесі</t>
  </si>
  <si>
    <t>Деректер кестесі</t>
  </si>
  <si>
    <t>Еркін түсу үдеуі</t>
  </si>
  <si>
    <t>g</t>
  </si>
  <si>
    <t>м/с^2</t>
  </si>
  <si>
    <t>Период</t>
  </si>
  <si>
    <t>T</t>
  </si>
  <si>
    <t>c</t>
  </si>
  <si>
    <t>Т/к</t>
  </si>
  <si>
    <t>Ұзындық</t>
  </si>
  <si>
    <t>?</t>
  </si>
  <si>
    <t>м</t>
  </si>
  <si>
    <t xml:space="preserve"> </t>
  </si>
  <si>
    <t>Серіппенің ұзаруы</t>
  </si>
  <si>
    <t>м/c^2</t>
  </si>
  <si>
    <t>Жиілік</t>
  </si>
  <si>
    <t>Гц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</si>
</sst>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\.00_);[Red]\(0\.00\)"/>
  </numFmts>
  <fonts count="25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2"/>
      <color rgb="FF000000"/>
      <name val="Times New Roman"/>
      <charset val="204"/>
    </font>
    <font>
      <sz val="11"/>
      <color rgb="FF000000"/>
      <name val="Calibri"/>
      <charset val="204"/>
      <scheme val="minor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1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180" fontId="1" fillId="0" borderId="1" xfId="0" applyNumberFormat="1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510540</xdr:colOff>
      <xdr:row>7</xdr:row>
      <xdr:rowOff>41910</xdr:rowOff>
    </xdr:from>
    <xdr:ext cx="715709" cy="44577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722120" y="1383030"/>
              <a:ext cx="715645" cy="445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𝑙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𝑔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722120" y="1383030"/>
              <a:ext cx="715645" cy="445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548640</xdr:colOff>
      <xdr:row>10</xdr:row>
      <xdr:rowOff>95250</xdr:rowOff>
    </xdr:from>
    <xdr:ext cx="651397" cy="35845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760220" y="2030730"/>
              <a:ext cx="650875" cy="3581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𝜋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760220" y="2030730"/>
              <a:ext cx="650875" cy="3581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53340</xdr:colOff>
      <xdr:row>13</xdr:row>
      <xdr:rowOff>80010</xdr:rowOff>
    </xdr:from>
    <xdr:ext cx="507767" cy="328765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870710" y="2609850"/>
              <a:ext cx="507365" cy="328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𝑙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𝜋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870710" y="2609850"/>
              <a:ext cx="507365" cy="328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304800</xdr:colOff>
      <xdr:row>21</xdr:row>
      <xdr:rowOff>26670</xdr:rowOff>
    </xdr:from>
    <xdr:ext cx="80920" cy="16460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727960" y="4141470"/>
              <a:ext cx="806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𝑙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727960" y="4141470"/>
              <a:ext cx="806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𝑙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464820</xdr:colOff>
      <xdr:row>7</xdr:row>
      <xdr:rowOff>3810</xdr:rowOff>
    </xdr:from>
    <xdr:ext cx="22826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5916930" y="1344930"/>
              <a:ext cx="22796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м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5916930" y="1344930"/>
              <a:ext cx="22796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𝑙</a:t>
              </a:r>
              <a:r>
                <a:rPr lang="en-US" sz="1100" b="0">
                  <a:latin typeface="Cambria Math" panose="02040503050406030204" pitchFamily="18" charset="0"/>
                </a:rPr>
                <a:t>, м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228600</xdr:colOff>
      <xdr:row>3</xdr:row>
      <xdr:rowOff>7620</xdr:rowOff>
    </xdr:from>
    <xdr:to>
      <xdr:col>11</xdr:col>
      <xdr:colOff>606425</xdr:colOff>
      <xdr:row>5</xdr:row>
      <xdr:rowOff>160020</xdr:rowOff>
    </xdr:to>
    <xdr:pic>
      <xdr:nvPicPr>
        <xdr:cNvPr id="3" name="Рисунок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0180" y="556260"/>
          <a:ext cx="5902325" cy="51816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</xdr:col>
      <xdr:colOff>198120</xdr:colOff>
      <xdr:row>25</xdr:row>
      <xdr:rowOff>171450</xdr:rowOff>
    </xdr:from>
    <xdr:ext cx="195310" cy="16460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621280" y="5048250"/>
              <a:ext cx="1949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621280" y="5048250"/>
              <a:ext cx="1949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𝑥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10</xdr:row>
      <xdr:rowOff>34290</xdr:rowOff>
    </xdr:from>
    <xdr:ext cx="555217" cy="473868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55470" y="1939290"/>
              <a:ext cx="554990" cy="473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55470" y="1939290"/>
              <a:ext cx="554990" cy="473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45720</xdr:colOff>
      <xdr:row>8</xdr:row>
      <xdr:rowOff>26670</xdr:rowOff>
    </xdr:from>
    <xdr:ext cx="65" cy="164607"/>
    <xdr:sp>
      <xdr:nvSpPr>
        <xdr:cNvPr id="11" name="TextBox 10"/>
        <xdr:cNvSpPr txBox="1"/>
      </xdr:nvSpPr>
      <xdr:spPr>
        <a:xfrm>
          <a:off x="6781800" y="1535430"/>
          <a:ext cx="0" cy="16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259080</xdr:colOff>
      <xdr:row>27</xdr:row>
      <xdr:rowOff>179070</xdr:rowOff>
    </xdr:from>
    <xdr:ext cx="112723" cy="164607"/>
    <mc:AlternateContent xmlns:mc="http://schemas.openxmlformats.org/markup-compatibility/2006">
      <mc:Choice xmlns:a14="http://schemas.microsoft.com/office/drawing/2010/main" Requires="a14">
        <xdr:sp>
          <xdr:nvSpPr>
            <xdr:cNvPr id="18" name="TextBox 17"/>
            <xdr:cNvSpPr txBox="1"/>
          </xdr:nvSpPr>
          <xdr:spPr>
            <a:xfrm>
              <a:off x="2682240" y="5452110"/>
              <a:ext cx="11239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8" name="TextBox 17"/>
            <xdr:cNvSpPr txBox="1"/>
          </xdr:nvSpPr>
          <xdr:spPr>
            <a:xfrm>
              <a:off x="2682240" y="5452110"/>
              <a:ext cx="11239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167640</xdr:colOff>
      <xdr:row>8</xdr:row>
      <xdr:rowOff>3810</xdr:rowOff>
    </xdr:from>
    <xdr:ext cx="809324" cy="501440"/>
    <mc:AlternateContent xmlns:mc="http://schemas.openxmlformats.org/markup-compatibility/2006">
      <mc:Choice xmlns:a14="http://schemas.microsoft.com/office/drawing/2010/main" Requires="a14">
        <xdr:sp>
          <xdr:nvSpPr>
            <xdr:cNvPr id="19" name="TextBox 18"/>
            <xdr:cNvSpPr txBox="1"/>
          </xdr:nvSpPr>
          <xdr:spPr>
            <a:xfrm>
              <a:off x="1985010" y="1512570"/>
              <a:ext cx="808990" cy="5010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19" name="TextBox 18"/>
            <xdr:cNvSpPr txBox="1"/>
          </xdr:nvSpPr>
          <xdr:spPr>
            <a:xfrm>
              <a:off x="1985010" y="1512570"/>
              <a:ext cx="808990" cy="5010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533400</xdr:colOff>
      <xdr:row>10</xdr:row>
      <xdr:rowOff>156210</xdr:rowOff>
    </xdr:from>
    <xdr:ext cx="65" cy="164607"/>
    <xdr:sp>
      <xdr:nvSpPr>
        <xdr:cNvPr id="20" name="TextBox 19"/>
        <xdr:cNvSpPr txBox="1"/>
      </xdr:nvSpPr>
      <xdr:spPr>
        <a:xfrm>
          <a:off x="6663690" y="2061210"/>
          <a:ext cx="0" cy="164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449580</xdr:colOff>
      <xdr:row>12</xdr:row>
      <xdr:rowOff>19050</xdr:rowOff>
    </xdr:from>
    <xdr:ext cx="1529329" cy="309262"/>
    <mc:AlternateContent xmlns:mc="http://schemas.openxmlformats.org/markup-compatibility/2006">
      <mc:Choice xmlns:a14="http://schemas.microsoft.com/office/drawing/2010/main" Requires="a14">
        <xdr:sp>
          <xdr:nvSpPr>
            <xdr:cNvPr id="22" name="TextBox 21"/>
            <xdr:cNvSpPr txBox="1"/>
          </xdr:nvSpPr>
          <xdr:spPr>
            <a:xfrm>
              <a:off x="1661160" y="2320290"/>
              <a:ext cx="1529080" cy="3092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</m:t>
                    </m:r>
                    <m:d>
                      <m:dPr>
                        <m:begChr m:val="|"/>
                        <m:endChr m:val="|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;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2" name="TextBox 21"/>
            <xdr:cNvSpPr txBox="1"/>
          </xdr:nvSpPr>
          <xdr:spPr>
            <a:xfrm>
              <a:off x="1661160" y="2320290"/>
              <a:ext cx="1529080" cy="3092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∆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;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∆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 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129540</xdr:colOff>
      <xdr:row>14</xdr:row>
      <xdr:rowOff>102870</xdr:rowOff>
    </xdr:from>
    <xdr:ext cx="829330" cy="164607"/>
    <mc:AlternateContent xmlns:mc="http://schemas.openxmlformats.org/markup-compatibility/2006">
      <mc:Choice xmlns:a14="http://schemas.microsoft.com/office/drawing/2010/main" Requires="a14">
        <xdr:sp>
          <xdr:nvSpPr>
            <xdr:cNvPr id="23" name="TextBox 22"/>
            <xdr:cNvSpPr txBox="1"/>
          </xdr:nvSpPr>
          <xdr:spPr>
            <a:xfrm>
              <a:off x="1946910" y="2800350"/>
              <a:ext cx="82931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3" name="TextBox 22"/>
            <xdr:cNvSpPr txBox="1"/>
          </xdr:nvSpPr>
          <xdr:spPr>
            <a:xfrm>
              <a:off x="1946910" y="2800350"/>
              <a:ext cx="82931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259080</xdr:colOff>
      <xdr:row>16</xdr:row>
      <xdr:rowOff>3810</xdr:rowOff>
    </xdr:from>
    <xdr:ext cx="2025491" cy="539335"/>
    <mc:AlternateContent xmlns:mc="http://schemas.openxmlformats.org/markup-compatibility/2006">
      <mc:Choice xmlns:a14="http://schemas.microsoft.com/office/drawing/2010/main" Requires="a14">
        <xdr:sp>
          <xdr:nvSpPr>
            <xdr:cNvPr id="24" name="TextBox 23"/>
            <xdr:cNvSpPr txBox="1"/>
          </xdr:nvSpPr>
          <xdr:spPr>
            <a:xfrm>
              <a:off x="1470660" y="3097530"/>
              <a:ext cx="2025015" cy="539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𝑚𝑔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;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num>
                          <m:den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𝑚𝑔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</m:den>
                        </m:f>
                      </m:e>
                    </m:rad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∆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𝑔</m:t>
                            </m:r>
                          </m:den>
                        </m:f>
                      </m:e>
                    </m:rad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4" name="TextBox 23"/>
            <xdr:cNvSpPr txBox="1"/>
          </xdr:nvSpPr>
          <xdr:spPr>
            <a:xfrm>
              <a:off x="1470660" y="3097530"/>
              <a:ext cx="2025015" cy="539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∆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;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∆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∆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15240</xdr:colOff>
      <xdr:row>19</xdr:row>
      <xdr:rowOff>95250</xdr:rowOff>
    </xdr:from>
    <xdr:ext cx="1053750" cy="505683"/>
    <mc:AlternateContent xmlns:mc="http://schemas.openxmlformats.org/markup-compatibility/2006">
      <mc:Choice xmlns:a14="http://schemas.microsoft.com/office/drawing/2010/main" Requires="a14">
        <xdr:sp>
          <xdr:nvSpPr>
            <xdr:cNvPr id="25" name="TextBox 24"/>
            <xdr:cNvSpPr txBox="1"/>
          </xdr:nvSpPr>
          <xdr:spPr>
            <a:xfrm>
              <a:off x="1832610" y="3783330"/>
              <a:ext cx="1053465" cy="505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ad>
                          <m:radPr>
                            <m:degHide m:val="on"/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𝑔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5" name="TextBox 24"/>
            <xdr:cNvSpPr txBox="1"/>
          </xdr:nvSpPr>
          <xdr:spPr>
            <a:xfrm>
              <a:off x="1832610" y="3783330"/>
              <a:ext cx="1053465" cy="505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∆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434340</xdr:colOff>
      <xdr:row>8</xdr:row>
      <xdr:rowOff>11430</xdr:rowOff>
    </xdr:from>
    <xdr:ext cx="284886" cy="336833"/>
    <mc:AlternateContent xmlns:mc="http://schemas.openxmlformats.org/markup-compatibility/2006">
      <mc:Choice xmlns:a14="http://schemas.microsoft.com/office/drawing/2010/main" Requires="a14">
        <xdr:sp>
          <xdr:nvSpPr>
            <xdr:cNvPr id="26" name="TextBox 25"/>
            <xdr:cNvSpPr txBox="1"/>
          </xdr:nvSpPr>
          <xdr:spPr>
            <a:xfrm>
              <a:off x="5958840" y="1520190"/>
              <a:ext cx="284480" cy="336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 xmlns:m="http://schemas.openxmlformats.org/officeDocument/2006/math"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𝑣</m:t>
                  </m:r>
                </m:oMath>
              </a14:m>
              <a:r>
                <a:rPr lang="ru-RU">
                  <a:effectLst/>
                </a:rPr>
                <a:t>, Гц</a:t>
              </a:r>
              <a:endParaRPr lang="ru-RU">
                <a:effectLst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26" name="TextBox 25"/>
            <xdr:cNvSpPr txBox="1"/>
          </xdr:nvSpPr>
          <xdr:spPr>
            <a:xfrm>
              <a:off x="5958840" y="1520190"/>
              <a:ext cx="284480" cy="336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>
                  <a:effectLst/>
                </a:rPr>
                <a:t>, Гц</a:t>
              </a:r>
              <a:endParaRPr lang="ru-RU">
                <a:effectLst/>
              </a:endParaRPr>
            </a:p>
            <a:p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P23"/>
  <sheetViews>
    <sheetView tabSelected="1" topLeftCell="A2" workbookViewId="0">
      <selection activeCell="L23" sqref="L23"/>
    </sheetView>
  </sheetViews>
  <sheetFormatPr defaultColWidth="8.83333333333333" defaultRowHeight="14.4"/>
  <sheetData>
    <row r="4" ht="15.6" spans="3:11">
      <c r="C4" s="15" t="s">
        <v>0</v>
      </c>
      <c r="D4" s="15"/>
      <c r="E4" s="15"/>
      <c r="F4" s="15"/>
      <c r="G4" s="15"/>
      <c r="H4" s="15"/>
      <c r="I4" s="2"/>
      <c r="J4" s="2"/>
      <c r="K4" s="2"/>
    </row>
    <row r="5" ht="15.6" spans="3:11">
      <c r="C5" s="2"/>
      <c r="D5" s="2"/>
      <c r="E5" s="2"/>
      <c r="F5" s="2"/>
      <c r="G5" s="2"/>
      <c r="H5" s="2"/>
      <c r="I5" s="2"/>
      <c r="J5" s="2"/>
      <c r="K5" s="2"/>
    </row>
    <row r="6" ht="15.6" spans="3:11">
      <c r="C6" s="2"/>
      <c r="D6" s="2"/>
      <c r="E6" s="2"/>
      <c r="F6" s="2"/>
      <c r="G6" s="2"/>
      <c r="H6" s="2"/>
      <c r="I6" s="2"/>
      <c r="J6" s="2"/>
      <c r="K6" s="2"/>
    </row>
    <row r="7" ht="15.6" spans="3:11">
      <c r="C7" s="3" t="s">
        <v>1</v>
      </c>
      <c r="D7" s="4"/>
      <c r="E7" s="5"/>
      <c r="F7" s="2"/>
      <c r="G7" s="2"/>
      <c r="H7" s="2"/>
      <c r="I7" s="2"/>
      <c r="J7" s="9" t="s">
        <v>2</v>
      </c>
      <c r="K7" s="7"/>
    </row>
    <row r="8" ht="15.6" spans="3:16">
      <c r="C8" s="16"/>
      <c r="D8" s="17"/>
      <c r="E8" s="18"/>
      <c r="F8" s="2"/>
      <c r="G8" s="2"/>
      <c r="H8" s="2"/>
      <c r="I8" s="2"/>
      <c r="J8" s="1"/>
      <c r="K8" s="1"/>
      <c r="P8" s="25"/>
    </row>
    <row r="9" ht="15.6" spans="3:16">
      <c r="C9" s="19"/>
      <c r="D9" s="20"/>
      <c r="E9" s="21"/>
      <c r="F9" s="2"/>
      <c r="G9" s="2"/>
      <c r="H9" s="2"/>
      <c r="I9" s="2"/>
      <c r="J9" s="1">
        <f>(F21^2*F20)/(4*3.14^2)</f>
        <v>0.993955130025559</v>
      </c>
      <c r="K9" s="1"/>
      <c r="P9" s="26"/>
    </row>
    <row r="10" ht="15.6" spans="3:16">
      <c r="C10" s="22"/>
      <c r="D10" s="23"/>
      <c r="E10" s="24"/>
      <c r="F10" s="2"/>
      <c r="G10" s="2"/>
      <c r="H10" s="2"/>
      <c r="I10" s="2"/>
      <c r="J10" s="2"/>
      <c r="K10" s="2"/>
      <c r="P10" s="27"/>
    </row>
    <row r="11" ht="15.6" spans="3:11">
      <c r="C11" s="16"/>
      <c r="D11" s="17"/>
      <c r="E11" s="18"/>
      <c r="F11" s="2"/>
      <c r="G11" s="2"/>
      <c r="H11" s="2"/>
      <c r="I11" s="2"/>
      <c r="J11" s="2"/>
      <c r="K11" s="2"/>
    </row>
    <row r="12" ht="15.6" spans="3:11">
      <c r="C12" s="19"/>
      <c r="D12" s="20"/>
      <c r="E12" s="21"/>
      <c r="F12" s="2"/>
      <c r="G12" s="2"/>
      <c r="H12" s="2"/>
      <c r="I12" s="2"/>
      <c r="J12" s="2"/>
      <c r="K12" s="2"/>
    </row>
    <row r="13" ht="15.6" spans="3:11">
      <c r="C13" s="22"/>
      <c r="D13" s="23"/>
      <c r="E13" s="24"/>
      <c r="F13" s="2"/>
      <c r="G13" s="2"/>
      <c r="H13" s="2"/>
      <c r="I13" s="2"/>
      <c r="J13" s="2"/>
      <c r="K13" s="2"/>
    </row>
    <row r="14" ht="15.6" spans="3:11">
      <c r="C14" s="1"/>
      <c r="D14" s="1"/>
      <c r="E14" s="1"/>
      <c r="F14" s="2"/>
      <c r="G14" s="2"/>
      <c r="H14" s="2"/>
      <c r="I14" s="2"/>
      <c r="J14" s="2"/>
      <c r="K14" s="2"/>
    </row>
    <row r="15" ht="15.6" spans="3:11">
      <c r="C15" s="1"/>
      <c r="D15" s="1"/>
      <c r="E15" s="1"/>
      <c r="F15" s="2"/>
      <c r="G15" s="2"/>
      <c r="H15" s="2"/>
      <c r="I15" s="2"/>
      <c r="J15" s="2"/>
      <c r="K15" s="2"/>
    </row>
    <row r="16" ht="15.6" spans="3:11">
      <c r="C16" s="1"/>
      <c r="D16" s="1"/>
      <c r="E16" s="1"/>
      <c r="F16" s="2"/>
      <c r="G16" s="2"/>
      <c r="H16" s="2"/>
      <c r="I16" s="2"/>
      <c r="J16" s="2"/>
      <c r="K16" s="2"/>
    </row>
    <row r="17" ht="15.6" spans="3:11">
      <c r="C17" s="2"/>
      <c r="D17" s="2"/>
      <c r="E17" s="2"/>
      <c r="F17" s="2"/>
      <c r="G17" s="2"/>
      <c r="H17" s="2"/>
      <c r="I17" s="2"/>
      <c r="J17" s="2"/>
      <c r="K17" s="2"/>
    </row>
    <row r="18" ht="15.6" spans="3:11">
      <c r="C18" s="2"/>
      <c r="D18" s="2"/>
      <c r="E18" s="2"/>
      <c r="F18" s="2"/>
      <c r="G18" s="2"/>
      <c r="H18" s="2"/>
      <c r="I18" s="2"/>
      <c r="J18" s="2"/>
      <c r="K18" s="2"/>
    </row>
    <row r="19" ht="15.6" spans="3:11">
      <c r="C19" s="6" t="s">
        <v>3</v>
      </c>
      <c r="D19" s="1"/>
      <c r="E19" s="1"/>
      <c r="F19" s="1"/>
      <c r="G19" s="1"/>
      <c r="H19" s="2"/>
      <c r="I19" s="2"/>
      <c r="J19" s="2"/>
      <c r="K19" s="2"/>
    </row>
    <row r="20" ht="15.6" spans="3:11">
      <c r="C20" s="9" t="s">
        <v>4</v>
      </c>
      <c r="D20" s="7"/>
      <c r="E20" s="9" t="s">
        <v>5</v>
      </c>
      <c r="F20" s="10">
        <v>9.8</v>
      </c>
      <c r="G20" s="9" t="s">
        <v>6</v>
      </c>
      <c r="H20" s="2"/>
      <c r="I20" s="2"/>
      <c r="J20" s="2"/>
      <c r="K20" s="2"/>
    </row>
    <row r="21" ht="15.6" spans="3:11">
      <c r="C21" s="3" t="s">
        <v>7</v>
      </c>
      <c r="D21" s="5"/>
      <c r="E21" s="9" t="s">
        <v>8</v>
      </c>
      <c r="F21" s="7">
        <v>2</v>
      </c>
      <c r="G21" s="9" t="s">
        <v>9</v>
      </c>
      <c r="H21" s="2"/>
      <c r="I21" s="2"/>
      <c r="J21" s="2"/>
      <c r="K21" s="2"/>
    </row>
    <row r="22" ht="15.6" spans="3:11">
      <c r="C22" s="9" t="s">
        <v>10</v>
      </c>
      <c r="D22" s="9" t="s">
        <v>11</v>
      </c>
      <c r="E22" s="7"/>
      <c r="F22" s="9" t="s">
        <v>12</v>
      </c>
      <c r="G22" s="9" t="s">
        <v>13</v>
      </c>
      <c r="H22" s="2"/>
      <c r="I22" s="2"/>
      <c r="J22" s="2"/>
      <c r="K22" s="2"/>
    </row>
    <row r="23" ht="15.6" spans="3:11">
      <c r="C23" s="2"/>
      <c r="D23" s="2"/>
      <c r="E23" s="2"/>
      <c r="F23" s="2"/>
      <c r="G23" s="2"/>
      <c r="H23" s="2"/>
      <c r="I23" s="2"/>
      <c r="J23" s="2"/>
      <c r="K23" s="2"/>
    </row>
  </sheetData>
  <mergeCells count="9">
    <mergeCell ref="C4:H4"/>
    <mergeCell ref="C7:E7"/>
    <mergeCell ref="J8:K8"/>
    <mergeCell ref="J9:K9"/>
    <mergeCell ref="C19:G19"/>
    <mergeCell ref="C21:D21"/>
    <mergeCell ref="C8:E10"/>
    <mergeCell ref="C11:E13"/>
    <mergeCell ref="C14:E1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N29"/>
  <sheetViews>
    <sheetView workbookViewId="0">
      <selection activeCell="P19" sqref="P19"/>
    </sheetView>
  </sheetViews>
  <sheetFormatPr defaultColWidth="8.83333333333333" defaultRowHeight="14.4"/>
  <cols>
    <col min="6" max="6" width="9.88888888888889"/>
  </cols>
  <sheetData>
    <row r="4" spans="3:12">
      <c r="C4" s="1"/>
      <c r="D4" s="1"/>
      <c r="E4" s="1"/>
      <c r="F4" s="1"/>
      <c r="G4" s="1"/>
      <c r="H4" s="1"/>
      <c r="I4" s="1"/>
      <c r="J4" s="1"/>
      <c r="K4" s="1"/>
      <c r="L4" s="1"/>
    </row>
    <row r="5" spans="3:12">
      <c r="C5" s="1"/>
      <c r="D5" s="1"/>
      <c r="E5" s="1"/>
      <c r="F5" s="1"/>
      <c r="G5" s="1"/>
      <c r="H5" s="1"/>
      <c r="I5" s="1"/>
      <c r="J5" s="1"/>
      <c r="K5" s="1"/>
      <c r="L5" s="1"/>
    </row>
    <row r="6" ht="15.6" spans="3:12">
      <c r="C6" s="2"/>
      <c r="D6" s="2"/>
      <c r="E6" s="2"/>
      <c r="F6" s="2"/>
      <c r="G6" s="2"/>
      <c r="H6" s="2"/>
      <c r="I6" s="2"/>
      <c r="J6" s="2"/>
      <c r="K6" s="2"/>
      <c r="L6" s="2"/>
    </row>
    <row r="7" ht="15.6" spans="3:12">
      <c r="C7" s="2"/>
      <c r="D7" s="2"/>
      <c r="E7" s="2"/>
      <c r="F7" s="2"/>
      <c r="G7" s="2"/>
      <c r="H7" s="2"/>
      <c r="I7" s="2"/>
      <c r="J7" s="2"/>
      <c r="K7" s="2"/>
      <c r="L7" s="2"/>
    </row>
    <row r="8" ht="15.6" spans="3:12">
      <c r="C8" s="3" t="s">
        <v>1</v>
      </c>
      <c r="D8" s="4"/>
      <c r="E8" s="4"/>
      <c r="F8" s="5"/>
      <c r="G8" s="2"/>
      <c r="H8" s="2"/>
      <c r="I8" s="2"/>
      <c r="J8" s="6" t="s">
        <v>2</v>
      </c>
      <c r="K8" s="1"/>
      <c r="L8" s="2"/>
    </row>
    <row r="9" ht="15.6" spans="3:12">
      <c r="C9" s="1"/>
      <c r="D9" s="1"/>
      <c r="E9" s="1"/>
      <c r="F9" s="1"/>
      <c r="G9" s="2"/>
      <c r="H9" s="2"/>
      <c r="I9" s="2"/>
      <c r="J9" s="1"/>
      <c r="K9" s="1"/>
      <c r="L9" s="2"/>
    </row>
    <row r="10" ht="15.6" spans="3:12">
      <c r="C10" s="1"/>
      <c r="D10" s="1"/>
      <c r="E10" s="1"/>
      <c r="F10" s="1"/>
      <c r="G10" s="2"/>
      <c r="H10" s="2"/>
      <c r="I10" s="2"/>
      <c r="J10" s="11">
        <f>1/(2*3.14*SQRT(F27/F28))</f>
        <v>5.57324840764331</v>
      </c>
      <c r="K10" s="11"/>
      <c r="L10" s="2"/>
    </row>
    <row r="11" ht="15.6" spans="3:12">
      <c r="C11" s="1"/>
      <c r="D11" s="1"/>
      <c r="E11" s="1"/>
      <c r="F11" s="1"/>
      <c r="G11" s="2"/>
      <c r="H11" s="2"/>
      <c r="I11" s="2"/>
      <c r="J11" s="2"/>
      <c r="K11" s="2"/>
      <c r="L11" s="2"/>
    </row>
    <row r="12" ht="15.6" spans="3:12">
      <c r="C12" s="1"/>
      <c r="D12" s="1"/>
      <c r="E12" s="1"/>
      <c r="F12" s="1"/>
      <c r="G12" s="2"/>
      <c r="H12" s="2"/>
      <c r="I12" s="2"/>
      <c r="J12" s="2"/>
      <c r="K12" s="2"/>
      <c r="L12" s="2"/>
    </row>
    <row r="13" ht="15.6" spans="3:14">
      <c r="C13" s="1"/>
      <c r="D13" s="1"/>
      <c r="E13" s="1"/>
      <c r="F13" s="1"/>
      <c r="G13" s="2"/>
      <c r="H13" s="2"/>
      <c r="I13" s="2"/>
      <c r="J13" s="2"/>
      <c r="K13" s="2"/>
      <c r="L13" s="2"/>
      <c r="N13" s="12"/>
    </row>
    <row r="14" ht="15.6" spans="3:12">
      <c r="C14" s="1"/>
      <c r="D14" s="1"/>
      <c r="E14" s="1"/>
      <c r="F14" s="1"/>
      <c r="G14" s="2"/>
      <c r="H14" s="2"/>
      <c r="I14" s="13" t="s">
        <v>14</v>
      </c>
      <c r="J14" s="2"/>
      <c r="K14" s="2"/>
      <c r="L14" s="2"/>
    </row>
    <row r="15" ht="15.6" spans="3:12">
      <c r="C15" s="1"/>
      <c r="D15" s="1"/>
      <c r="E15" s="1"/>
      <c r="F15" s="1"/>
      <c r="G15" s="2"/>
      <c r="H15" s="2"/>
      <c r="I15" s="2"/>
      <c r="J15" s="2"/>
      <c r="K15" s="2"/>
      <c r="L15" s="2"/>
    </row>
    <row r="16" ht="15.6" spans="3:12">
      <c r="C16" s="1"/>
      <c r="D16" s="1"/>
      <c r="E16" s="1"/>
      <c r="F16" s="1"/>
      <c r="G16" s="2"/>
      <c r="H16" s="2"/>
      <c r="I16" s="2"/>
      <c r="J16" s="2"/>
      <c r="K16" s="2"/>
      <c r="L16" s="2"/>
    </row>
    <row r="17" ht="15.6" spans="3:12">
      <c r="C17" s="1"/>
      <c r="D17" s="1"/>
      <c r="E17" s="1"/>
      <c r="F17" s="1"/>
      <c r="G17" s="2"/>
      <c r="H17" s="2"/>
      <c r="I17" s="2"/>
      <c r="J17" s="2"/>
      <c r="K17" s="13" t="s">
        <v>14</v>
      </c>
      <c r="L17" s="2"/>
    </row>
    <row r="18" ht="15.6" spans="3:12">
      <c r="C18" s="1"/>
      <c r="D18" s="1"/>
      <c r="E18" s="1"/>
      <c r="F18" s="1"/>
      <c r="G18" s="2"/>
      <c r="H18" s="2"/>
      <c r="I18" s="2"/>
      <c r="J18" s="2"/>
      <c r="K18" s="2"/>
      <c r="L18" s="2"/>
    </row>
    <row r="19" ht="15.6" spans="3:12">
      <c r="C19" s="1"/>
      <c r="D19" s="1"/>
      <c r="E19" s="1"/>
      <c r="F19" s="1"/>
      <c r="G19" s="2"/>
      <c r="H19" s="2"/>
      <c r="I19" s="2"/>
      <c r="J19" s="2"/>
      <c r="K19" s="2"/>
      <c r="L19" s="2"/>
    </row>
    <row r="20" ht="15.6" spans="3:12">
      <c r="C20" s="1"/>
      <c r="D20" s="1"/>
      <c r="E20" s="1"/>
      <c r="F20" s="1"/>
      <c r="G20" s="2"/>
      <c r="H20" s="2"/>
      <c r="I20" s="2"/>
      <c r="J20" s="2"/>
      <c r="K20" s="2"/>
      <c r="L20" s="2"/>
    </row>
    <row r="21" ht="15.6" spans="3:12">
      <c r="C21" s="1"/>
      <c r="D21" s="1"/>
      <c r="E21" s="1"/>
      <c r="F21" s="1"/>
      <c r="G21" s="2"/>
      <c r="H21" s="2"/>
      <c r="I21" s="2"/>
      <c r="J21" s="2"/>
      <c r="K21" s="2"/>
      <c r="L21" s="2"/>
    </row>
    <row r="22" ht="15.6" spans="3:12">
      <c r="C22" s="1"/>
      <c r="D22" s="1"/>
      <c r="E22" s="1"/>
      <c r="F22" s="1"/>
      <c r="G22" s="2"/>
      <c r="H22" s="2"/>
      <c r="I22" s="2"/>
      <c r="J22" s="2"/>
      <c r="K22" s="2"/>
      <c r="L22" s="2"/>
    </row>
    <row r="23" ht="15.6" spans="3:12">
      <c r="C23" s="1"/>
      <c r="D23" s="1"/>
      <c r="E23" s="1"/>
      <c r="F23" s="1"/>
      <c r="G23" s="2"/>
      <c r="H23" s="2"/>
      <c r="I23" s="2"/>
      <c r="J23" s="2"/>
      <c r="K23" s="2"/>
      <c r="L23" s="2"/>
    </row>
    <row r="24" ht="15.6" spans="3:12">
      <c r="C24" s="2"/>
      <c r="D24" s="2"/>
      <c r="E24" s="2"/>
      <c r="F24" s="2"/>
      <c r="G24" s="2"/>
      <c r="H24" s="2"/>
      <c r="I24" s="14"/>
      <c r="J24" s="2"/>
      <c r="K24" s="2"/>
      <c r="L24" s="2"/>
    </row>
    <row r="25" ht="15.6" spans="3:12"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6" spans="3:12">
      <c r="C26" s="6" t="s">
        <v>3</v>
      </c>
      <c r="D26" s="1"/>
      <c r="E26" s="1"/>
      <c r="F26" s="1"/>
      <c r="G26" s="1"/>
      <c r="H26" s="2"/>
      <c r="I26" s="2"/>
      <c r="J26" s="2"/>
      <c r="K26" s="2"/>
      <c r="L26" s="2"/>
    </row>
    <row r="27" ht="15.6" spans="3:12">
      <c r="C27" s="6" t="s">
        <v>15</v>
      </c>
      <c r="D27" s="1"/>
      <c r="E27" s="7"/>
      <c r="F27" s="8">
        <v>0.008</v>
      </c>
      <c r="G27" s="9" t="s">
        <v>13</v>
      </c>
      <c r="H27" s="2"/>
      <c r="I27" s="2"/>
      <c r="J27" s="2"/>
      <c r="K27" s="2"/>
      <c r="L27" s="2"/>
    </row>
    <row r="28" ht="15.6" spans="3:12">
      <c r="C28" s="6" t="s">
        <v>4</v>
      </c>
      <c r="D28" s="1"/>
      <c r="E28" s="9" t="s">
        <v>5</v>
      </c>
      <c r="F28" s="7">
        <v>9.8</v>
      </c>
      <c r="G28" s="9" t="s">
        <v>16</v>
      </c>
      <c r="H28" s="2"/>
      <c r="I28" s="2"/>
      <c r="J28" s="2"/>
      <c r="K28" s="2"/>
      <c r="L28" s="2"/>
    </row>
    <row r="29" ht="15.6" spans="3:12">
      <c r="C29" s="9" t="s">
        <v>10</v>
      </c>
      <c r="D29" s="9" t="s">
        <v>17</v>
      </c>
      <c r="E29" s="10"/>
      <c r="F29" s="9" t="s">
        <v>12</v>
      </c>
      <c r="G29" s="9" t="s">
        <v>18</v>
      </c>
      <c r="H29" s="2"/>
      <c r="I29" s="2"/>
      <c r="J29" s="2"/>
      <c r="K29" s="2"/>
      <c r="L29" s="2"/>
    </row>
  </sheetData>
  <mergeCells count="14">
    <mergeCell ref="C8:F8"/>
    <mergeCell ref="J8:K8"/>
    <mergeCell ref="J9:K9"/>
    <mergeCell ref="J10:K10"/>
    <mergeCell ref="C26:G26"/>
    <mergeCell ref="C27:D27"/>
    <mergeCell ref="C28:D28"/>
    <mergeCell ref="C20:F23"/>
    <mergeCell ref="C17:F19"/>
    <mergeCell ref="C15:F16"/>
    <mergeCell ref="C13:F14"/>
    <mergeCell ref="C4:L5"/>
    <mergeCell ref="C11:F12"/>
    <mergeCell ref="C9:F1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Admin</cp:lastModifiedBy>
  <dcterms:created xsi:type="dcterms:W3CDTF">2025-03-25T12:45:00Z</dcterms:created>
  <dcterms:modified xsi:type="dcterms:W3CDTF">2025-06-02T17:49:52Z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4701ABC1FA1E43A79DED82D87F4C0C90_12</vt:lpwstr>
  </property>
  <property fmtid="{D5CDD505-2E9C-101B-9397-08002B2CF9AE}" pid="3" name="KSOProductBuildVer">
    <vt:lpwstr>1049-12.2.0.21179</vt:lpwstr>
  </property>
</Properties>
</file>