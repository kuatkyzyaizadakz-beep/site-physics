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activeTab="1"/>
  </bookViews>
  <sheets>
    <sheet name="1-есеп" sheetId="1" r:id="rId1"/>
    <sheet name="2-есе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<sst xmlns="http://schemas.openxmlformats.org/spreadsheetml/2006/main" count="31" uniqueCount="23">
  <si>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№1. Массасы 1000 т дененің полюстегі және экватордағы салмағын анықтаңдар. Жердің радиусы 6400км деп алыңдар.</t>
  </si>
  <si>
    <t>Деректер кестесі</t>
  </si>
  <si>
    <t>Мәліметтер кестесі</t>
  </si>
  <si>
    <t>масса</t>
  </si>
  <si>
    <t>m</t>
  </si>
  <si>
    <t>Мкг</t>
  </si>
  <si>
    <t xml:space="preserve">a, </t>
  </si>
  <si>
    <t>Жердің радиусы</t>
  </si>
  <si>
    <t>км</t>
  </si>
  <si>
    <t>Еркін түсу үдеуі</t>
  </si>
  <si>
    <t>g</t>
  </si>
  <si>
    <t>уақыт</t>
  </si>
  <si>
    <t>T</t>
  </si>
  <si>
    <t>c</t>
  </si>
  <si>
    <t>Есептеуіш формулалар</t>
  </si>
  <si>
    <t xml:space="preserve"> №2.  Массасы 2000 кг болатын жүк төмен түсіп келе жатқан лифтіде тұр. Осы кезде ол еденге 2400Н қысым түсіреді. Лифтінің үдеуін және бағытын анықтаңдар.</t>
  </si>
  <si>
    <t xml:space="preserve">g, </t>
  </si>
  <si>
    <t>P, H</t>
  </si>
  <si>
    <t>m, кг</t>
  </si>
  <si>
    <t>кг</t>
  </si>
  <si>
    <t>салмақ</t>
  </si>
  <si>
    <t>P</t>
  </si>
  <si>
    <t>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</si>
</sst>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"/>
  </numFmts>
  <fonts count="23">
    <font>
      <sz val="11"/>
      <color theme="1"/>
      <name val="Calibri"/>
      <charset val="134"/>
      <scheme val="minor"/>
    </font>
    <font>
      <sz val="12"/>
      <color rgb="FF3F3F3F"/>
      <name val="Times New Roman"/>
      <charset val="204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20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/>
      <right style="thin">
        <color rgb="FF3F3F3F"/>
      </right>
      <top/>
      <bottom/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" applyNumberFormat="0" applyAlignment="0" applyProtection="0"/>
    <xf numFmtId="0" fontId="14" fillId="5" borderId="13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Fill="1"/>
    <xf numFmtId="0" fontId="1" fillId="0" borderId="1" xfId="17" applyFont="1" applyFill="1" applyAlignment="1">
      <alignment horizontal="center" wrapText="1"/>
    </xf>
    <xf numFmtId="0" fontId="1" fillId="0" borderId="1" xfId="17" applyFont="1" applyFill="1" applyAlignment="1">
      <alignment horizontal="center" wrapText="1"/>
    </xf>
    <xf numFmtId="0" fontId="2" fillId="0" borderId="0" xfId="0" applyFont="1" applyFill="1"/>
    <xf numFmtId="0" fontId="1" fillId="0" borderId="1" xfId="17" applyFont="1" applyFill="1" applyAlignment="1">
      <alignment horizontal="center"/>
    </xf>
    <xf numFmtId="0" fontId="1" fillId="0" borderId="1" xfId="17" applyFont="1" applyFill="1" applyAlignment="1">
      <alignment horizontal="center"/>
    </xf>
    <xf numFmtId="0" fontId="1" fillId="0" borderId="1" xfId="17" applyFont="1" applyFill="1"/>
    <xf numFmtId="0" fontId="1" fillId="0" borderId="1" xfId="17" applyFont="1" applyFill="1"/>
    <xf numFmtId="0" fontId="2" fillId="0" borderId="0" xfId="0" applyFont="1"/>
    <xf numFmtId="0" fontId="1" fillId="0" borderId="2" xfId="17" applyFont="1" applyFill="1" applyBorder="1" applyAlignment="1">
      <alignment horizontal="center" vertical="center" wrapText="1"/>
    </xf>
    <xf numFmtId="0" fontId="1" fillId="0" borderId="3" xfId="17" applyFont="1" applyFill="1" applyBorder="1" applyAlignment="1">
      <alignment horizontal="center" vertical="center" wrapText="1"/>
    </xf>
    <xf numFmtId="0" fontId="1" fillId="0" borderId="4" xfId="17" applyFont="1" applyFill="1" applyBorder="1" applyAlignment="1">
      <alignment horizontal="center" vertical="center" wrapText="1"/>
    </xf>
    <xf numFmtId="0" fontId="1" fillId="0" borderId="0" xfId="17" applyFont="1" applyFill="1" applyBorder="1" applyAlignment="1">
      <alignment horizontal="center" vertical="center" wrapText="1"/>
    </xf>
    <xf numFmtId="0" fontId="1" fillId="0" borderId="5" xfId="17" applyFont="1" applyFill="1" applyBorder="1" applyAlignment="1">
      <alignment horizontal="center" vertical="center" wrapText="1"/>
    </xf>
    <xf numFmtId="0" fontId="1" fillId="0" borderId="6" xfId="17" applyFont="1" applyFill="1" applyBorder="1" applyAlignment="1">
      <alignment horizontal="center" vertical="center" wrapText="1"/>
    </xf>
    <xf numFmtId="180" fontId="1" fillId="0" borderId="1" xfId="17" applyNumberFormat="1" applyFont="1" applyFill="1"/>
    <xf numFmtId="0" fontId="1" fillId="0" borderId="1" xfId="17" applyFont="1" applyFill="1" applyAlignment="1">
      <alignment horizontal="right"/>
    </xf>
    <xf numFmtId="0" fontId="1" fillId="0" borderId="7" xfId="17" applyFont="1" applyFill="1" applyBorder="1" applyAlignment="1">
      <alignment horizontal="center" vertical="center" wrapText="1"/>
    </xf>
    <xf numFmtId="0" fontId="1" fillId="0" borderId="8" xfId="17" applyFont="1" applyFill="1" applyBorder="1" applyAlignment="1">
      <alignment horizontal="center" vertical="center" wrapText="1"/>
    </xf>
    <xf numFmtId="0" fontId="1" fillId="0" borderId="9" xfId="17" applyFont="1" applyFill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11430</xdr:colOff>
      <xdr:row>9</xdr:row>
      <xdr:rowOff>11430</xdr:rowOff>
    </xdr:from>
    <xdr:ext cx="198644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2480310" y="1764030"/>
              <a:ext cx="19812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ж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2480310" y="1764030"/>
              <a:ext cx="19812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𝑅</a:t>
              </a:r>
              <a:r>
                <a:rPr lang="en-US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ж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278130</xdr:colOff>
      <xdr:row>10</xdr:row>
      <xdr:rowOff>11430</xdr:rowOff>
    </xdr:from>
    <xdr:ext cx="323550" cy="175369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3981450" y="1962150"/>
              <a:ext cx="323215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м/с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3981450" y="1962150"/>
              <a:ext cx="323215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м/с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3810</xdr:colOff>
      <xdr:row>15</xdr:row>
      <xdr:rowOff>95250</xdr:rowOff>
    </xdr:from>
    <xdr:ext cx="557076" cy="172227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2472690" y="3036570"/>
              <a:ext cx="55689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𝑚𝑔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2472690" y="3036570"/>
              <a:ext cx="55689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𝑃</a:t>
              </a:r>
              <a:r>
                <a:rPr lang="en-US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𝑚𝑔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430530</xdr:colOff>
      <xdr:row>17</xdr:row>
      <xdr:rowOff>110490</xdr:rowOff>
    </xdr:from>
    <xdr:ext cx="930063" cy="172227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2282190" y="3448050"/>
              <a:ext cx="92964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𝑚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𝑔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2282190" y="3448050"/>
              <a:ext cx="92964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𝑃</a:t>
              </a:r>
              <a:r>
                <a:rPr lang="en-US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𝑚</a:t>
              </a:r>
              <a:r>
                <a:rPr lang="en-US" sz="1100" b="0">
                  <a:latin typeface="Cambria Math" panose="02040503050406030204" pitchFamily="18" charset="0"/>
                </a:rPr>
                <a:t>(</a:t>
              </a:r>
              <a:r>
                <a:rPr lang="en-US" sz="1100" b="0">
                  <a:latin typeface="Cambria Math" panose="02040503050406030204" pitchFamily="18" charset="0"/>
                </a:rPr>
                <a:t>𝑔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𝑎</a:t>
              </a:r>
              <a:r>
                <a:rPr lang="en-US" sz="1100" b="0">
                  <a:latin typeface="Cambria Math" panose="02040503050406030204" pitchFamily="18" charset="0"/>
                </a:rPr>
                <a:t>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506730</xdr:colOff>
      <xdr:row>19</xdr:row>
      <xdr:rowOff>3810</xdr:rowOff>
    </xdr:from>
    <xdr:ext cx="699422" cy="348942"/>
    <mc:AlternateContent xmlns:mc="http://schemas.openxmlformats.org/markup-compatibility/2006">
      <mc:Choice xmlns:a14="http://schemas.microsoft.com/office/drawing/2010/main" Requires="a14">
        <xdr:sp>
          <xdr:nvSpPr>
            <xdr:cNvPr id="7" name="TextBox 6"/>
            <xdr:cNvSpPr txBox="1"/>
          </xdr:nvSpPr>
          <xdr:spPr>
            <a:xfrm>
              <a:off x="2358390" y="3737610"/>
              <a:ext cx="699135" cy="3486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𝜋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ж</m:t>
                            </m:r>
                          </m:sub>
                        </m:sSub>
                      </m:num>
                      <m:den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7" name="TextBox 6"/>
            <xdr:cNvSpPr txBox="1"/>
          </xdr:nvSpPr>
          <xdr:spPr>
            <a:xfrm>
              <a:off x="2358390" y="3737610"/>
              <a:ext cx="699135" cy="3486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𝑎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4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𝑅</a:t>
              </a:r>
              <a:r>
                <a:rPr lang="en-US" sz="1100" b="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ж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𝑇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114300</xdr:colOff>
      <xdr:row>8</xdr:row>
      <xdr:rowOff>3810</xdr:rowOff>
    </xdr:from>
    <xdr:ext cx="410049" cy="172227"/>
    <mc:AlternateContent xmlns:mc="http://schemas.openxmlformats.org/markup-compatibility/2006">
      <mc:Choice xmlns:a14="http://schemas.microsoft.com/office/drawing/2010/main" Requires="a14">
        <xdr:sp>
          <xdr:nvSpPr>
            <xdr:cNvPr id="8" name="TextBox 7"/>
            <xdr:cNvSpPr txBox="1"/>
          </xdr:nvSpPr>
          <xdr:spPr>
            <a:xfrm>
              <a:off x="7650480" y="1558290"/>
              <a:ext cx="40957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𝑃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</m:oMath>
              </a14:m>
              <a:r>
                <a:rPr lang="en-US" sz="1100"/>
                <a:t>, МН</a:t>
              </a:r>
              <a:endParaRPr lang="en-US" sz="1100"/>
            </a:p>
          </xdr:txBody>
        </xdr:sp>
      </mc:Choice>
      <mc:Fallback>
        <xdr:sp>
          <xdr:nvSpPr>
            <xdr:cNvPr id="8" name="TextBox 7"/>
            <xdr:cNvSpPr txBox="1"/>
          </xdr:nvSpPr>
          <xdr:spPr>
            <a:xfrm>
              <a:off x="7650480" y="1558290"/>
              <a:ext cx="40957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𝑃</a:t>
              </a:r>
              <a:r>
                <a:rPr lang="en-US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/>
                <a:t>, МН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160020</xdr:colOff>
      <xdr:row>8</xdr:row>
      <xdr:rowOff>7620</xdr:rowOff>
    </xdr:from>
    <xdr:ext cx="433901" cy="172227"/>
    <mc:AlternateContent xmlns:mc="http://schemas.openxmlformats.org/markup-compatibility/2006">
      <mc:Choice xmlns:a14="http://schemas.microsoft.com/office/drawing/2010/main" Requires="a14">
        <xdr:sp>
          <xdr:nvSpPr>
            <xdr:cNvPr id="9" name="TextBox 8"/>
            <xdr:cNvSpPr txBox="1"/>
          </xdr:nvSpPr>
          <xdr:spPr>
            <a:xfrm>
              <a:off x="8313420" y="1562100"/>
              <a:ext cx="43370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 МН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9" name="TextBox 8"/>
            <xdr:cNvSpPr txBox="1"/>
          </xdr:nvSpPr>
          <xdr:spPr>
            <a:xfrm>
              <a:off x="8313420" y="1562100"/>
              <a:ext cx="43370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𝑃</a:t>
              </a:r>
              <a:r>
                <a:rPr lang="en-US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, МН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175260</xdr:colOff>
      <xdr:row>8</xdr:row>
      <xdr:rowOff>0</xdr:rowOff>
    </xdr:from>
    <xdr:ext cx="323550" cy="175369"/>
    <mc:AlternateContent xmlns:mc="http://schemas.openxmlformats.org/markup-compatibility/2006">
      <mc:Choice xmlns:a14="http://schemas.microsoft.com/office/drawing/2010/main" Requires="a14">
        <xdr:sp>
          <xdr:nvSpPr>
            <xdr:cNvPr id="10" name="TextBox 9"/>
            <xdr:cNvSpPr txBox="1"/>
          </xdr:nvSpPr>
          <xdr:spPr>
            <a:xfrm>
              <a:off x="6964680" y="1554480"/>
              <a:ext cx="323215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м/с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0" name="TextBox 9"/>
            <xdr:cNvSpPr txBox="1"/>
          </xdr:nvSpPr>
          <xdr:spPr>
            <a:xfrm>
              <a:off x="6964680" y="1554480"/>
              <a:ext cx="323215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м/с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278130</xdr:colOff>
      <xdr:row>10</xdr:row>
      <xdr:rowOff>11430</xdr:rowOff>
    </xdr:from>
    <xdr:ext cx="323550" cy="175369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3981450" y="1962150"/>
              <a:ext cx="323215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м/с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3981450" y="1962150"/>
              <a:ext cx="323215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м/с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388620</xdr:colOff>
      <xdr:row>14</xdr:row>
      <xdr:rowOff>91440</xdr:rowOff>
    </xdr:from>
    <xdr:ext cx="883255" cy="172227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2240280" y="2834640"/>
              <a:ext cx="88265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𝑚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𝑔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2240280" y="2834640"/>
              <a:ext cx="88265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𝑃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𝑚</a:t>
              </a:r>
              <a:r>
                <a:rPr lang="en-US" sz="1100" b="0">
                  <a:latin typeface="Cambria Math" panose="02040503050406030204" pitchFamily="18" charset="0"/>
                </a:rPr>
                <a:t>(</a:t>
              </a:r>
              <a:r>
                <a:rPr lang="en-US" sz="1100" b="0">
                  <a:latin typeface="Cambria Math" panose="02040503050406030204" pitchFamily="18" charset="0"/>
                </a:rPr>
                <a:t>𝑔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𝑎</a:t>
              </a:r>
              <a:r>
                <a:rPr lang="en-US" sz="1100" b="0">
                  <a:latin typeface="Cambria Math" panose="02040503050406030204" pitchFamily="18" charset="0"/>
                </a:rPr>
                <a:t>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457200</xdr:colOff>
      <xdr:row>16</xdr:row>
      <xdr:rowOff>30480</xdr:rowOff>
    </xdr:from>
    <xdr:ext cx="675248" cy="316882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2308860" y="3169920"/>
              <a:ext cx="675005" cy="3168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𝑔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2308860" y="3169920"/>
              <a:ext cx="675005" cy="3168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𝑎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𝑔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𝑃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129540</xdr:colOff>
      <xdr:row>7</xdr:row>
      <xdr:rowOff>15240</xdr:rowOff>
    </xdr:from>
    <xdr:ext cx="323550" cy="175369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5"/>
            <xdr:cNvSpPr txBox="1"/>
          </xdr:nvSpPr>
          <xdr:spPr>
            <a:xfrm>
              <a:off x="6301740" y="1371600"/>
              <a:ext cx="323215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м/с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6" name="TextBox 5"/>
            <xdr:cNvSpPr txBox="1"/>
          </xdr:nvSpPr>
          <xdr:spPr>
            <a:xfrm>
              <a:off x="6301740" y="1371600"/>
              <a:ext cx="323215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м/с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137160</xdr:colOff>
      <xdr:row>7</xdr:row>
      <xdr:rowOff>0</xdr:rowOff>
    </xdr:from>
    <xdr:ext cx="323550" cy="175369"/>
    <mc:AlternateContent xmlns:mc="http://schemas.openxmlformats.org/markup-compatibility/2006">
      <mc:Choice xmlns:a14="http://schemas.microsoft.com/office/drawing/2010/main" Requires="a14">
        <xdr:sp>
          <xdr:nvSpPr>
            <xdr:cNvPr id="7" name="TextBox 6"/>
            <xdr:cNvSpPr txBox="1"/>
          </xdr:nvSpPr>
          <xdr:spPr>
            <a:xfrm>
              <a:off x="8161020" y="1356360"/>
              <a:ext cx="323215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м/с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7" name="TextBox 6"/>
            <xdr:cNvSpPr txBox="1"/>
          </xdr:nvSpPr>
          <xdr:spPr>
            <a:xfrm>
              <a:off x="8161020" y="1356360"/>
              <a:ext cx="323215" cy="175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м/с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N22"/>
  <sheetViews>
    <sheetView topLeftCell="A2" workbookViewId="0">
      <selection activeCell="J26" sqref="J26"/>
    </sheetView>
  </sheetViews>
  <sheetFormatPr defaultColWidth="9" defaultRowHeight="14.4"/>
  <cols>
    <col min="12" max="12" width="10.8888888888889" customWidth="1"/>
    <col min="14" max="14" width="12.6666666666667" customWidth="1"/>
  </cols>
  <sheetData>
    <row r="3" ht="18" customHeight="1" spans="3:14">
      <c r="C3" s="10" t="s">
        <v>0</v>
      </c>
      <c r="D3" s="11"/>
      <c r="E3" s="11"/>
      <c r="F3" s="11"/>
      <c r="G3" s="11"/>
      <c r="H3" s="11"/>
      <c r="I3" s="11"/>
      <c r="J3" s="18"/>
      <c r="K3" s="4"/>
      <c r="L3" s="4"/>
      <c r="M3" s="4"/>
      <c r="N3" s="4"/>
    </row>
    <row r="4" customHeight="1" spans="3:14">
      <c r="C4" s="12"/>
      <c r="D4" s="13"/>
      <c r="E4" s="13"/>
      <c r="F4" s="13"/>
      <c r="G4" s="13"/>
      <c r="H4" s="13"/>
      <c r="I4" s="13"/>
      <c r="J4" s="19"/>
      <c r="K4" s="4"/>
      <c r="L4" s="4"/>
      <c r="M4" s="4"/>
      <c r="N4" s="4"/>
    </row>
    <row r="5" customHeight="1" spans="3:14">
      <c r="C5" s="14"/>
      <c r="D5" s="15"/>
      <c r="E5" s="15"/>
      <c r="F5" s="15"/>
      <c r="G5" s="15"/>
      <c r="H5" s="15"/>
      <c r="I5" s="15"/>
      <c r="J5" s="20"/>
      <c r="K5" s="4"/>
      <c r="L5" s="4"/>
      <c r="M5" s="4"/>
      <c r="N5" s="4"/>
    </row>
    <row r="6" ht="15.6" spans="3:14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ht="15.6" spans="3:14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ht="15.6" spans="3:14">
      <c r="C8" s="5" t="s">
        <v>1</v>
      </c>
      <c r="D8" s="6"/>
      <c r="E8" s="6"/>
      <c r="F8" s="6"/>
      <c r="G8" s="6"/>
      <c r="H8" s="4"/>
      <c r="I8" s="4"/>
      <c r="J8" s="4"/>
      <c r="K8" s="4"/>
      <c r="L8" s="5" t="s">
        <v>2</v>
      </c>
      <c r="M8" s="6"/>
      <c r="N8" s="6"/>
    </row>
    <row r="9" ht="15.6" spans="3:14">
      <c r="C9" s="5" t="s">
        <v>3</v>
      </c>
      <c r="D9" s="6"/>
      <c r="E9" s="7" t="s">
        <v>4</v>
      </c>
      <c r="F9" s="16">
        <v>1</v>
      </c>
      <c r="G9" s="17" t="s">
        <v>5</v>
      </c>
      <c r="H9" s="4"/>
      <c r="I9" s="4"/>
      <c r="J9" s="4"/>
      <c r="K9" s="4"/>
      <c r="L9" s="7" t="s">
        <v>6</v>
      </c>
      <c r="M9" s="8"/>
      <c r="N9" s="8"/>
    </row>
    <row r="10" ht="15.6" spans="3:14">
      <c r="C10" s="5" t="s">
        <v>7</v>
      </c>
      <c r="D10" s="6"/>
      <c r="E10" s="8"/>
      <c r="F10" s="16">
        <v>6400</v>
      </c>
      <c r="G10" s="17" t="s">
        <v>8</v>
      </c>
      <c r="H10" s="4"/>
      <c r="I10" s="4"/>
      <c r="J10" s="4"/>
      <c r="K10" s="4"/>
      <c r="L10" s="16">
        <f>(4*3.14*3.14*$F$10*10^3)/($F$12*$F$12)</f>
        <v>0.0338120713305898</v>
      </c>
      <c r="M10" s="8">
        <f>$F$9*$F$11</f>
        <v>9.81</v>
      </c>
      <c r="N10" s="8">
        <f>$F$9*($F$11-$L$10)</f>
        <v>9.77618792866941</v>
      </c>
    </row>
    <row r="11" ht="15.6" spans="3:14">
      <c r="C11" s="5" t="s">
        <v>9</v>
      </c>
      <c r="D11" s="6"/>
      <c r="E11" s="7" t="s">
        <v>10</v>
      </c>
      <c r="F11" s="8">
        <v>9.81</v>
      </c>
      <c r="G11" s="8"/>
      <c r="H11" s="4"/>
      <c r="I11" s="4"/>
      <c r="J11" s="4"/>
      <c r="K11" s="4"/>
      <c r="L11" s="4"/>
      <c r="M11" s="4"/>
      <c r="N11" s="4"/>
    </row>
    <row r="12" ht="15.6" spans="3:14">
      <c r="C12" s="5" t="s">
        <v>11</v>
      </c>
      <c r="D12" s="6"/>
      <c r="E12" s="7" t="s">
        <v>12</v>
      </c>
      <c r="F12" s="16">
        <v>86400</v>
      </c>
      <c r="G12" s="17" t="s">
        <v>13</v>
      </c>
      <c r="H12" s="4"/>
      <c r="I12" s="4"/>
      <c r="J12" s="4"/>
      <c r="K12" s="4"/>
      <c r="L12" s="4"/>
      <c r="M12" s="4"/>
      <c r="N12" s="4"/>
    </row>
    <row r="13" ht="15.6" spans="3:14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ht="15.6" spans="3:14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15.6" spans="3:14">
      <c r="C15" s="4"/>
      <c r="D15" s="5" t="s">
        <v>14</v>
      </c>
      <c r="E15" s="6"/>
      <c r="F15" s="6"/>
      <c r="G15" s="4"/>
      <c r="H15" s="4"/>
      <c r="I15" s="4"/>
      <c r="J15" s="4"/>
      <c r="K15" s="4"/>
      <c r="L15" s="4"/>
      <c r="M15" s="4"/>
      <c r="N15" s="4"/>
    </row>
    <row r="16" ht="15.6" spans="3:14">
      <c r="C16" s="4"/>
      <c r="D16" s="6"/>
      <c r="E16" s="6"/>
      <c r="F16" s="6"/>
      <c r="G16" s="4"/>
      <c r="H16" s="4"/>
      <c r="I16" s="4"/>
      <c r="J16" s="4"/>
      <c r="K16" s="4"/>
      <c r="L16" s="4"/>
      <c r="M16" s="4"/>
      <c r="N16" s="4"/>
    </row>
    <row r="17" ht="15.6" spans="3:14">
      <c r="C17" s="4"/>
      <c r="D17" s="6"/>
      <c r="E17" s="6"/>
      <c r="F17" s="6"/>
      <c r="G17" s="4"/>
      <c r="H17" s="4"/>
      <c r="I17" s="4"/>
      <c r="J17" s="4"/>
      <c r="K17" s="4"/>
      <c r="L17" s="4"/>
      <c r="M17" s="4"/>
      <c r="N17" s="4"/>
    </row>
    <row r="18" ht="15.6" spans="3:14">
      <c r="C18" s="4"/>
      <c r="D18" s="6"/>
      <c r="E18" s="6"/>
      <c r="F18" s="6"/>
      <c r="G18" s="4"/>
      <c r="H18" s="4"/>
      <c r="I18" s="4"/>
      <c r="J18" s="4"/>
      <c r="K18" s="4"/>
      <c r="L18" s="4"/>
      <c r="M18" s="4"/>
      <c r="N18" s="4"/>
    </row>
    <row r="19" ht="15.6" spans="3:14">
      <c r="C19" s="4"/>
      <c r="D19" s="6"/>
      <c r="E19" s="6"/>
      <c r="F19" s="6"/>
      <c r="G19" s="4"/>
      <c r="H19" s="4"/>
      <c r="I19" s="4"/>
      <c r="J19" s="4"/>
      <c r="K19" s="4"/>
      <c r="L19" s="4"/>
      <c r="M19" s="4"/>
      <c r="N19" s="4"/>
    </row>
    <row r="20" ht="15.6" spans="3:14">
      <c r="C20" s="4"/>
      <c r="D20" s="6"/>
      <c r="E20" s="6"/>
      <c r="F20" s="6"/>
      <c r="G20" s="4"/>
      <c r="H20" s="4"/>
      <c r="I20" s="4"/>
      <c r="J20" s="4"/>
      <c r="K20" s="4"/>
      <c r="L20" s="4"/>
      <c r="M20" s="4"/>
      <c r="N20" s="4"/>
    </row>
    <row r="21" ht="15.6" spans="3:14">
      <c r="C21" s="4"/>
      <c r="D21" s="6"/>
      <c r="E21" s="6"/>
      <c r="F21" s="6"/>
      <c r="G21" s="4"/>
      <c r="H21" s="4"/>
      <c r="I21" s="4"/>
      <c r="J21" s="4"/>
      <c r="K21" s="4"/>
      <c r="L21" s="4"/>
      <c r="M21" s="4"/>
      <c r="N21" s="4"/>
    </row>
    <row r="22" ht="15.6" spans="3:14"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</sheetData>
  <mergeCells count="11">
    <mergeCell ref="C8:G8"/>
    <mergeCell ref="L8:N8"/>
    <mergeCell ref="C9:D9"/>
    <mergeCell ref="C10:D10"/>
    <mergeCell ref="C11:D11"/>
    <mergeCell ref="C12:D12"/>
    <mergeCell ref="D15:F15"/>
    <mergeCell ref="D16:F17"/>
    <mergeCell ref="D18:F19"/>
    <mergeCell ref="D20:F21"/>
    <mergeCell ref="C3:J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N20"/>
  <sheetViews>
    <sheetView tabSelected="1" workbookViewId="0">
      <selection activeCell="O6" sqref="O6"/>
    </sheetView>
  </sheetViews>
  <sheetFormatPr defaultColWidth="9" defaultRowHeight="14.4"/>
  <sheetData>
    <row r="2" spans="3:14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5.6" spans="3:14">
      <c r="C3" s="2" t="s">
        <v>15</v>
      </c>
      <c r="D3" s="3"/>
      <c r="E3" s="3"/>
      <c r="F3" s="3"/>
      <c r="G3" s="3"/>
      <c r="H3" s="3"/>
      <c r="I3" s="3"/>
      <c r="J3" s="4"/>
      <c r="K3" s="4"/>
      <c r="L3" s="4"/>
      <c r="M3" s="4"/>
      <c r="N3" s="4"/>
    </row>
    <row r="4" ht="15.6" spans="3:14">
      <c r="C4" s="3"/>
      <c r="D4" s="3"/>
      <c r="E4" s="3"/>
      <c r="F4" s="3"/>
      <c r="G4" s="3"/>
      <c r="H4" s="3"/>
      <c r="I4" s="3"/>
      <c r="J4" s="4"/>
      <c r="K4" s="4"/>
      <c r="L4" s="4"/>
      <c r="M4" s="4"/>
      <c r="N4" s="4"/>
    </row>
    <row r="5" ht="15.6" spans="3:14">
      <c r="C5" s="3"/>
      <c r="D5" s="3"/>
      <c r="E5" s="3"/>
      <c r="F5" s="3"/>
      <c r="G5" s="3"/>
      <c r="H5" s="3"/>
      <c r="I5" s="3"/>
      <c r="J5" s="4"/>
      <c r="K5" s="4"/>
      <c r="L5" s="4"/>
      <c r="M5" s="4"/>
      <c r="N5" s="4"/>
    </row>
    <row r="6" ht="15.6" spans="3:14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ht="15.6" spans="3:14">
      <c r="C7" s="4"/>
      <c r="D7" s="4"/>
      <c r="E7" s="4"/>
      <c r="F7" s="4"/>
      <c r="G7" s="4"/>
      <c r="H7" s="4"/>
      <c r="I7" s="4"/>
      <c r="J7" s="4"/>
      <c r="K7" s="5" t="s">
        <v>2</v>
      </c>
      <c r="L7" s="6"/>
      <c r="M7" s="6"/>
      <c r="N7" s="6"/>
    </row>
    <row r="8" ht="15.6" spans="3:14">
      <c r="C8" s="5" t="s">
        <v>1</v>
      </c>
      <c r="D8" s="6"/>
      <c r="E8" s="6"/>
      <c r="F8" s="6"/>
      <c r="G8" s="6"/>
      <c r="H8" s="4"/>
      <c r="I8" s="4"/>
      <c r="J8" s="4"/>
      <c r="K8" s="7" t="s">
        <v>16</v>
      </c>
      <c r="L8" s="7" t="s">
        <v>17</v>
      </c>
      <c r="M8" s="7" t="s">
        <v>18</v>
      </c>
      <c r="N8" s="7" t="s">
        <v>6</v>
      </c>
    </row>
    <row r="9" ht="15.6" spans="3:14">
      <c r="C9" s="5" t="s">
        <v>3</v>
      </c>
      <c r="D9" s="6"/>
      <c r="E9" s="7" t="s">
        <v>4</v>
      </c>
      <c r="F9" s="8">
        <v>2000</v>
      </c>
      <c r="G9" s="7" t="s">
        <v>19</v>
      </c>
      <c r="H9" s="4"/>
      <c r="I9" s="4"/>
      <c r="J9" s="4"/>
      <c r="K9" s="8">
        <v>9.81</v>
      </c>
      <c r="L9" s="8">
        <v>2400</v>
      </c>
      <c r="M9" s="8">
        <v>2000</v>
      </c>
      <c r="N9" s="8">
        <f>$K$9-($L$9/$M$9)</f>
        <v>8.61</v>
      </c>
    </row>
    <row r="10" ht="15.6" spans="3:14">
      <c r="C10" s="5" t="s">
        <v>20</v>
      </c>
      <c r="D10" s="6"/>
      <c r="E10" s="7" t="s">
        <v>21</v>
      </c>
      <c r="F10" s="8">
        <v>2400</v>
      </c>
      <c r="G10" s="7" t="s">
        <v>22</v>
      </c>
      <c r="H10" s="4"/>
      <c r="I10" s="4"/>
      <c r="J10" s="4"/>
      <c r="K10" s="4"/>
      <c r="L10" s="4"/>
      <c r="M10" s="4"/>
      <c r="N10" s="4"/>
    </row>
    <row r="11" ht="15.6" spans="3:14">
      <c r="C11" s="5" t="s">
        <v>9</v>
      </c>
      <c r="D11" s="6"/>
      <c r="E11" s="7" t="s">
        <v>10</v>
      </c>
      <c r="F11" s="8">
        <v>9.81</v>
      </c>
      <c r="G11" s="8"/>
      <c r="H11" s="4"/>
      <c r="I11" s="4"/>
      <c r="J11" s="4"/>
      <c r="K11" s="4"/>
      <c r="L11" s="4"/>
      <c r="M11" s="4"/>
      <c r="N11" s="4"/>
    </row>
    <row r="12" ht="15.6" spans="3:14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ht="15.6" spans="3:14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ht="15.6" spans="3:14">
      <c r="C14" s="4"/>
      <c r="D14" s="5" t="s">
        <v>14</v>
      </c>
      <c r="E14" s="6"/>
      <c r="F14" s="6"/>
      <c r="G14" s="4"/>
      <c r="H14" s="4"/>
      <c r="I14" s="4"/>
      <c r="J14" s="4"/>
      <c r="K14" s="4"/>
      <c r="L14" s="4"/>
      <c r="M14" s="4"/>
      <c r="N14" s="4"/>
    </row>
    <row r="15" ht="15.6" spans="3:14">
      <c r="C15" s="4"/>
      <c r="D15" s="6"/>
      <c r="E15" s="6"/>
      <c r="F15" s="6"/>
      <c r="G15" s="4"/>
      <c r="H15" s="4"/>
      <c r="I15" s="4"/>
      <c r="J15" s="4"/>
      <c r="K15" s="4"/>
      <c r="L15" s="4"/>
      <c r="M15" s="4"/>
      <c r="N15" s="4"/>
    </row>
    <row r="16" ht="15.6" spans="3:14">
      <c r="C16" s="4"/>
      <c r="D16" s="6"/>
      <c r="E16" s="6"/>
      <c r="F16" s="6"/>
      <c r="G16" s="4"/>
      <c r="H16" s="4"/>
      <c r="I16" s="4"/>
      <c r="J16" s="4"/>
      <c r="K16" s="4"/>
      <c r="L16" s="4"/>
      <c r="M16" s="4"/>
      <c r="N16" s="4"/>
    </row>
    <row r="17" ht="15.6" spans="3:14">
      <c r="C17" s="4"/>
      <c r="D17" s="6"/>
      <c r="E17" s="6"/>
      <c r="F17" s="6"/>
      <c r="G17" s="4"/>
      <c r="H17" s="4"/>
      <c r="I17" s="4"/>
      <c r="J17" s="4"/>
      <c r="K17" s="4"/>
      <c r="L17" s="4"/>
      <c r="M17" s="4"/>
      <c r="N17" s="4"/>
    </row>
    <row r="18" ht="15.6" spans="3:14">
      <c r="C18" s="4"/>
      <c r="D18" s="6"/>
      <c r="E18" s="6"/>
      <c r="F18" s="6"/>
      <c r="G18" s="4"/>
      <c r="H18" s="4"/>
      <c r="I18" s="4"/>
      <c r="J18" s="4"/>
      <c r="K18" s="4"/>
      <c r="L18" s="4"/>
      <c r="M18" s="4"/>
      <c r="N18" s="4"/>
    </row>
    <row r="19" ht="15.6" spans="3:14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15.6" spans="3:14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</sheetData>
  <mergeCells count="9">
    <mergeCell ref="K7:N7"/>
    <mergeCell ref="C8:G8"/>
    <mergeCell ref="C9:D9"/>
    <mergeCell ref="C10:D10"/>
    <mergeCell ref="C11:D11"/>
    <mergeCell ref="D14:F14"/>
    <mergeCell ref="D15:F16"/>
    <mergeCell ref="D17:F18"/>
    <mergeCell ref="C3:I5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1-есеп</vt:lpstr>
      <vt:lpstr>2-есеп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</dc:creator>
  <cp:lastModifiedBy>Admin</cp:lastModifiedBy>
  <dcterms:created xsi:type="dcterms:W3CDTF">2015-06-05T18:19:00Z</dcterms:created>
  <dcterms:modified xsi:type="dcterms:W3CDTF">2025-06-02T19:47:38Z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E49F12F7C92F4516B85DA8EBB541A7C4_12</vt:lpwstr>
  </property>
  <property fmtid="{D5CDD505-2E9C-101B-9397-08002B2CF9AE}" pid="3" name="KSOProductBuildVer">
    <vt:lpwstr>1049-12.2.0.21179</vt:lpwstr>
  </property>
</Properties>
</file>