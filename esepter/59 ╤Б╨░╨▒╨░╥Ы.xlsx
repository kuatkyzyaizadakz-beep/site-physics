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Есеп 1" sheetId="1" r:id="rId1"/>
    <sheet name="Есеп 2" sheetId="2" r:id="rId2"/>
    <sheet name="Есеп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<sst xmlns="http://schemas.openxmlformats.org/spreadsheetml/2006/main" count="62" uniqueCount="43">
  <si>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Гелий-4 және гелий-3 атомдарының тыныштық массалары тиісінше 4,002603 м.а.б. және 3,016042 м.а.б. Олардың массалар айырмасын мегалектронвольтпен (МэВ) анықтаңдар.</t>
  </si>
  <si>
    <t>Есептеуіш формула</t>
  </si>
  <si>
    <t>Нәтиже кестесі</t>
  </si>
  <si>
    <t>m1, маб</t>
  </si>
  <si>
    <t>m2, маб</t>
  </si>
  <si>
    <t>Деректер кестесі</t>
  </si>
  <si>
    <t>Масса</t>
  </si>
  <si>
    <t>m1</t>
  </si>
  <si>
    <t>м.а.б</t>
  </si>
  <si>
    <t>m2</t>
  </si>
  <si>
    <t>Байланыс энергмясы</t>
  </si>
  <si>
    <t>?</t>
  </si>
  <si>
    <t>Мэв</t>
  </si>
  <si>
    <t>Көміртек-13 атомы ядросын протондар мен нейтрондарға ыдырату үшін қандай ең аз энергия шығындау керек? Ядроның меншікті байланыс энергиясы қандай?</t>
  </si>
  <si>
    <t>A</t>
  </si>
  <si>
    <t>Z</t>
  </si>
  <si>
    <t>N</t>
  </si>
  <si>
    <t>1.007276466</t>
  </si>
  <si>
    <t>1.008664915</t>
  </si>
  <si>
    <t>13.003354837</t>
  </si>
  <si>
    <t>0.100958364</t>
  </si>
  <si>
    <t>94.08</t>
  </si>
  <si>
    <t>.7.24</t>
  </si>
  <si>
    <t>Деректер кес есі</t>
  </si>
  <si>
    <t>Массалық сан</t>
  </si>
  <si>
    <t>Протон массасы</t>
  </si>
  <si>
    <t>Нейтрон массасы</t>
  </si>
  <si>
    <t>Атом ядросының массасы</t>
  </si>
  <si>
    <t>Протондар саны</t>
  </si>
  <si>
    <t>Меншікті байданыс энергиясы</t>
  </si>
  <si>
    <t>МэВ</t>
  </si>
  <si>
    <t>Радий-226 изотопының жартылай ыдырау периоды 1600 жыл. Егер 640 г радийден тұратын үлгі алынса, 4800 жылдан кейін қанша грамм радий қалады?</t>
  </si>
  <si>
    <t>T, жыл</t>
  </si>
  <si>
    <t>t, жыл</t>
  </si>
  <si>
    <t>N, г</t>
  </si>
  <si>
    <t>Бастапқы масса</t>
  </si>
  <si>
    <t>г</t>
  </si>
  <si>
    <t>Жартылай ыдырау пкриоды</t>
  </si>
  <si>
    <t>T</t>
  </si>
  <si>
    <t>жыл</t>
  </si>
  <si>
    <t>Өткен уақыт</t>
  </si>
  <si>
    <t>t</t>
  </si>
  <si>
    <t>Уақыт өткеннен кейін қалған масса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</si>
</sst>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mm\.yy"/>
    <numFmt numFmtId="181" formatCode="dd\.mmm"/>
  </numFmts>
  <fonts count="22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180" fontId="1" fillId="0" borderId="1" xfId="0" applyNumberFormat="1" applyFont="1" applyBorder="1"/>
    <xf numFmtId="181" fontId="1" fillId="0" borderId="0" xfId="0" applyNumberFormat="1" applyFo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214312</xdr:colOff>
      <xdr:row>8</xdr:row>
      <xdr:rowOff>4762</xdr:rowOff>
    </xdr:from>
    <xdr:ext cx="146097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425575" y="1551305"/>
              <a:ext cx="14611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байл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931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5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Мэв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425575" y="1551305"/>
              <a:ext cx="14611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байл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931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 Мэв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13</xdr:row>
      <xdr:rowOff>185737</xdr:rowOff>
    </xdr:from>
    <xdr:ext cx="342530" cy="167464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618105" y="2722880"/>
              <a:ext cx="342265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байл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618105" y="2722880"/>
              <a:ext cx="342265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байл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33337</xdr:colOff>
      <xdr:row>8</xdr:row>
      <xdr:rowOff>14287</xdr:rowOff>
    </xdr:from>
    <xdr:ext cx="23660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7828280" y="1560830"/>
              <a:ext cx="2368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7828280" y="1560830"/>
              <a:ext cx="2368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14287</xdr:colOff>
      <xdr:row>8</xdr:row>
      <xdr:rowOff>14287</xdr:rowOff>
    </xdr:from>
    <xdr:ext cx="650050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8533130" y="1560830"/>
              <a:ext cx="650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байл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, Мэв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8533130" y="1560830"/>
              <a:ext cx="650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байл</a:t>
              </a:r>
              <a:r>
                <a:rPr lang="en-US" sz="1100" b="0">
                  <a:latin typeface="Cambria Math" panose="02040503050406030204" pitchFamily="18" charset="0"/>
                </a:rPr>
                <a:t>, Мэв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4762</xdr:colOff>
      <xdr:row>8</xdr:row>
      <xdr:rowOff>23812</xdr:rowOff>
    </xdr:from>
    <xdr:ext cx="668196" cy="16460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21815" y="1577975"/>
              <a:ext cx="66802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𝑍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21815" y="1577975"/>
              <a:ext cx="66802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𝐴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𝑍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519112</xdr:colOff>
      <xdr:row>10</xdr:row>
      <xdr:rowOff>4762</xdr:rowOff>
    </xdr:from>
    <xdr:ext cx="8682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730375" y="1955165"/>
              <a:ext cx="86804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байл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730375" y="1955165"/>
              <a:ext cx="86804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байл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𝑐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71437</xdr:colOff>
      <xdr:row>9</xdr:row>
      <xdr:rowOff>4762</xdr:rowOff>
    </xdr:from>
    <xdr:ext cx="1643848" cy="186792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282700" y="1757045"/>
              <a:ext cx="1644015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я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282700" y="1757045"/>
              <a:ext cx="1644015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𝑍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𝑝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𝑀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я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528637</xdr:colOff>
      <xdr:row>11</xdr:row>
      <xdr:rowOff>33337</xdr:rowOff>
    </xdr:from>
    <xdr:ext cx="875304" cy="308236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739900" y="2181860"/>
              <a:ext cx="87503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менш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байл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739900" y="2181860"/>
              <a:ext cx="87503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менш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байл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𝐴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23812</xdr:colOff>
      <xdr:row>16</xdr:row>
      <xdr:rowOff>4762</xdr:rowOff>
    </xdr:from>
    <xdr:ext cx="222048" cy="182614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3109595" y="3143885"/>
              <a:ext cx="22225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3109595" y="3143885"/>
              <a:ext cx="22225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𝑝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23812</xdr:colOff>
      <xdr:row>16</xdr:row>
      <xdr:rowOff>185737</xdr:rowOff>
    </xdr:from>
    <xdr:ext cx="236219" cy="167464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3109595" y="3324860"/>
              <a:ext cx="23622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3109595" y="3324860"/>
              <a:ext cx="23622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33337</xdr:colOff>
      <xdr:row>18</xdr:row>
      <xdr:rowOff>14287</xdr:rowOff>
    </xdr:from>
    <xdr:ext cx="20409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3119120" y="3549650"/>
              <a:ext cx="2038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я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3119120" y="3549650"/>
              <a:ext cx="2038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𝑀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я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14287</xdr:colOff>
      <xdr:row>19</xdr:row>
      <xdr:rowOff>185737</xdr:rowOff>
    </xdr:from>
    <xdr:ext cx="380873" cy="167464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3100070" y="3919220"/>
              <a:ext cx="38100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менш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3100070" y="3919220"/>
              <a:ext cx="38100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менш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25003</xdr:colOff>
      <xdr:row>8</xdr:row>
      <xdr:rowOff>13097</xdr:rowOff>
    </xdr:from>
    <xdr:ext cx="613758" cy="177111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7671435" y="1567180"/>
              <a:ext cx="613410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</m:oMath>
              </a14:m>
              <a:r>
                <a:rPr lang="en-US" sz="1100"/>
                <a:t>, </a:t>
              </a:r>
              <a:r>
                <a:rPr lang="ru-RU" sz="1100"/>
                <a:t>а.м.м.</a:t>
              </a:r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7671435" y="1567180"/>
              <a:ext cx="613410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</a:t>
              </a:r>
              <a:r>
                <a:rPr lang="en-US" sz="1100"/>
                <a:t>, </a:t>
              </a:r>
              <a:r>
                <a:rPr lang="ru-RU" sz="1100"/>
                <a:t>а.м.м.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1190</xdr:colOff>
      <xdr:row>8</xdr:row>
      <xdr:rowOff>13097</xdr:rowOff>
    </xdr:from>
    <xdr:ext cx="66845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10"/>
            <xdr:cNvSpPr txBox="1"/>
          </xdr:nvSpPr>
          <xdr:spPr>
            <a:xfrm>
              <a:off x="8504555" y="1567180"/>
              <a:ext cx="6686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 </m:t>
                    </m:r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а.м.м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1" name="TextBox 10"/>
            <xdr:cNvSpPr txBox="1"/>
          </xdr:nvSpPr>
          <xdr:spPr>
            <a:xfrm>
              <a:off x="8504555" y="1567180"/>
              <a:ext cx="6686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 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а.м.м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36909</xdr:colOff>
      <xdr:row>8</xdr:row>
      <xdr:rowOff>25003</xdr:rowOff>
    </xdr:from>
    <xdr:ext cx="636328" cy="164607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11"/>
            <xdr:cNvSpPr txBox="1"/>
          </xdr:nvSpPr>
          <xdr:spPr>
            <a:xfrm>
              <a:off x="9398000" y="1579245"/>
              <a:ext cx="63627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я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а.м.м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>
                <a:effectLst/>
              </a:endParaRPr>
            </a:p>
          </xdr:txBody>
        </xdr:sp>
      </mc:Choice>
      <mc:Fallback>
        <xdr:sp>
          <xdr:nvSpPr>
            <xdr:cNvPr id="12" name="TextBox 11"/>
            <xdr:cNvSpPr txBox="1"/>
          </xdr:nvSpPr>
          <xdr:spPr>
            <a:xfrm>
              <a:off x="9398000" y="1579245"/>
              <a:ext cx="63627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я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а.м.м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13097</xdr:colOff>
      <xdr:row>8</xdr:row>
      <xdr:rowOff>25003</xdr:rowOff>
    </xdr:from>
    <xdr:ext cx="681533" cy="164607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10299700" y="1579245"/>
              <a:ext cx="68135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а.м.м.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10299700" y="1579245"/>
              <a:ext cx="68135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а.м.м.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16</xdr:col>
      <xdr:colOff>13096</xdr:colOff>
      <xdr:row>8</xdr:row>
      <xdr:rowOff>1191</xdr:rowOff>
    </xdr:from>
    <xdr:ext cx="66255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13"/>
            <xdr:cNvSpPr txBox="1"/>
          </xdr:nvSpPr>
          <xdr:spPr>
            <a:xfrm>
              <a:off x="11099800" y="1555115"/>
              <a:ext cx="66294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байл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МэВ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4" name="TextBox 13"/>
            <xdr:cNvSpPr txBox="1"/>
          </xdr:nvSpPr>
          <xdr:spPr>
            <a:xfrm>
              <a:off x="11099800" y="1555115"/>
              <a:ext cx="66294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байл</a:t>
              </a:r>
              <a:r>
                <a:rPr lang="en-US" sz="1100" b="0">
                  <a:latin typeface="Cambria Math" panose="02040503050406030204" pitchFamily="18" charset="0"/>
                </a:rPr>
                <a:t>, МэВ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16</xdr:col>
      <xdr:colOff>691753</xdr:colOff>
      <xdr:row>8</xdr:row>
      <xdr:rowOff>13097</xdr:rowOff>
    </xdr:from>
    <xdr:ext cx="70089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14"/>
            <xdr:cNvSpPr txBox="1"/>
          </xdr:nvSpPr>
          <xdr:spPr>
            <a:xfrm>
              <a:off x="11778615" y="1567180"/>
              <a:ext cx="7010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0" lang="ru-RU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kumimoji="0" lang="en-US" sz="11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менш</m:t>
                        </m:r>
                      </m:sub>
                    </m:sSub>
                    <m:r>
                      <a:rPr kumimoji="0" lang="en-US" sz="11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МэВ</m:t>
                    </m:r>
                  </m:oMath>
                </m:oMathPara>
              </a14:m>
              <a:endParaRPr kumimoji="0" lang="ru-RU" sz="11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5" name="TextBox 14"/>
            <xdr:cNvSpPr txBox="1"/>
          </xdr:nvSpPr>
          <xdr:spPr>
            <a:xfrm>
              <a:off x="11778615" y="1567180"/>
              <a:ext cx="7010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kumimoji="0" lang="ru-RU" sz="1100" b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менш</a:t>
              </a:r>
              <a:r>
                <a:rPr kumimoji="0" lang="en-US" sz="1100" b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, МэВ</a:t>
              </a:r>
              <a:endParaRPr kumimoji="0" lang="ru-RU" sz="11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595312</xdr:colOff>
      <xdr:row>8</xdr:row>
      <xdr:rowOff>42862</xdr:rowOff>
    </xdr:from>
    <xdr:ext cx="835357" cy="25354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06575" y="1597025"/>
              <a:ext cx="835660" cy="2533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06575" y="1597025"/>
              <a:ext cx="835660" cy="2533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4762</xdr:colOff>
      <xdr:row>13</xdr:row>
      <xdr:rowOff>4762</xdr:rowOff>
    </xdr:from>
    <xdr:ext cx="18883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536315" y="2549525"/>
              <a:ext cx="1885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536315" y="2549525"/>
              <a:ext cx="1885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23812</xdr:colOff>
      <xdr:row>8</xdr:row>
      <xdr:rowOff>4762</xdr:rowOff>
    </xdr:from>
    <xdr:ext cx="30431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5978525" y="1558925"/>
              <a:ext cx="3041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г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5978525" y="1558925"/>
              <a:ext cx="3041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 г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16"/>
  <sheetViews>
    <sheetView workbookViewId="0">
      <selection activeCell="H15" sqref="H15"/>
    </sheetView>
  </sheetViews>
  <sheetFormatPr defaultColWidth="8.83333333333333" defaultRowHeight="14.4"/>
  <cols>
    <col min="3" max="3" width="9.83333333333333" customWidth="1"/>
    <col min="4" max="4" width="10.3333333333333" customWidth="1"/>
    <col min="6" max="6" width="10.5555555555556"/>
    <col min="11" max="13" width="10.5555555555556"/>
    <col min="14" max="14" width="9.83333333333333" customWidth="1"/>
  </cols>
  <sheetData>
    <row r="3" ht="15" customHeight="1" spans="3:14">
      <c r="C3" s="15" t="s">
        <v>0</v>
      </c>
      <c r="D3" s="16"/>
      <c r="E3" s="16"/>
      <c r="F3" s="16"/>
      <c r="G3" s="16"/>
      <c r="H3" s="16"/>
      <c r="I3" s="16"/>
      <c r="J3" s="3"/>
      <c r="K3" s="3"/>
      <c r="L3" s="3"/>
      <c r="M3" s="3"/>
      <c r="N3" s="3"/>
    </row>
    <row r="4" ht="15.6" spans="3:14">
      <c r="C4" s="16"/>
      <c r="D4" s="16"/>
      <c r="E4" s="16"/>
      <c r="F4" s="16"/>
      <c r="G4" s="16"/>
      <c r="H4" s="16"/>
      <c r="I4" s="16"/>
      <c r="J4" s="3"/>
      <c r="K4" s="3"/>
      <c r="L4" s="3"/>
      <c r="M4" s="3"/>
      <c r="N4" s="3"/>
    </row>
    <row r="5" ht="15.6" spans="3:14">
      <c r="C5" s="16"/>
      <c r="D5" s="16"/>
      <c r="E5" s="16"/>
      <c r="F5" s="16"/>
      <c r="G5" s="16"/>
      <c r="H5" s="16"/>
      <c r="I5" s="16"/>
      <c r="J5" s="3"/>
      <c r="K5" s="3"/>
      <c r="L5" s="3"/>
      <c r="M5" s="3"/>
      <c r="N5" s="3"/>
    </row>
    <row r="6" ht="15.6" spans="3:14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6" spans="3:14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6" spans="3:14">
      <c r="C8" s="4" t="s">
        <v>1</v>
      </c>
      <c r="D8" s="5"/>
      <c r="E8" s="5"/>
      <c r="F8" s="3"/>
      <c r="G8" s="3"/>
      <c r="H8" s="3"/>
      <c r="I8" s="3"/>
      <c r="J8" s="3"/>
      <c r="K8" s="6" t="s">
        <v>2</v>
      </c>
      <c r="L8" s="7"/>
      <c r="M8" s="7"/>
      <c r="N8" s="8"/>
    </row>
    <row r="9" ht="15.6" spans="3:14">
      <c r="C9" s="5"/>
      <c r="D9" s="5"/>
      <c r="E9" s="5"/>
      <c r="F9" s="3"/>
      <c r="G9" s="3"/>
      <c r="H9" s="3"/>
      <c r="I9" s="3"/>
      <c r="J9" s="3"/>
      <c r="K9" s="10" t="s">
        <v>3</v>
      </c>
      <c r="L9" s="10" t="s">
        <v>4</v>
      </c>
      <c r="M9" s="9"/>
      <c r="N9" s="9"/>
    </row>
    <row r="10" ht="15.6" spans="3:14">
      <c r="C10" s="3"/>
      <c r="D10" s="3"/>
      <c r="E10" s="3"/>
      <c r="F10" s="3"/>
      <c r="G10" s="3"/>
      <c r="H10" s="3"/>
      <c r="I10" s="3"/>
      <c r="J10" s="3"/>
      <c r="K10" s="9">
        <v>4.002603</v>
      </c>
      <c r="L10" s="9">
        <v>3.016042</v>
      </c>
      <c r="M10" s="9">
        <f>K10-L10</f>
        <v>0.986561</v>
      </c>
      <c r="N10" s="9">
        <f>M10*931.5</f>
        <v>918.9815715</v>
      </c>
    </row>
    <row r="11" ht="15.6" spans="3:14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5.6" spans="3:14">
      <c r="C12" s="4" t="s">
        <v>5</v>
      </c>
      <c r="D12" s="5"/>
      <c r="E12" s="5"/>
      <c r="F12" s="5"/>
      <c r="G12" s="5"/>
      <c r="H12" s="3"/>
      <c r="I12" s="3"/>
      <c r="J12" s="3"/>
      <c r="K12" s="3"/>
      <c r="L12" s="3"/>
      <c r="M12" s="3"/>
      <c r="N12" s="3"/>
    </row>
    <row r="13" ht="15.6" spans="3:14">
      <c r="C13" s="17" t="s">
        <v>6</v>
      </c>
      <c r="D13" s="18"/>
      <c r="E13" s="10" t="s">
        <v>7</v>
      </c>
      <c r="F13" s="9">
        <v>4.002603</v>
      </c>
      <c r="G13" s="10" t="s">
        <v>8</v>
      </c>
      <c r="H13" s="3"/>
      <c r="I13" s="3"/>
      <c r="J13" s="3"/>
      <c r="K13" s="3"/>
      <c r="L13" s="3"/>
      <c r="M13" s="3"/>
      <c r="N13" s="3"/>
    </row>
    <row r="14" ht="15.6" spans="3:14">
      <c r="C14" s="19"/>
      <c r="D14" s="20"/>
      <c r="E14" s="10" t="s">
        <v>9</v>
      </c>
      <c r="F14" s="9">
        <v>3.016042</v>
      </c>
      <c r="G14" s="10" t="s">
        <v>8</v>
      </c>
      <c r="H14" s="3"/>
      <c r="I14" s="3"/>
      <c r="J14" s="3"/>
      <c r="K14" s="3"/>
      <c r="L14" s="3"/>
      <c r="M14" s="3"/>
      <c r="N14" s="3"/>
    </row>
    <row r="15" ht="15.6" spans="3:14">
      <c r="C15" s="4" t="s">
        <v>10</v>
      </c>
      <c r="D15" s="5"/>
      <c r="E15" s="9"/>
      <c r="F15" s="10" t="s">
        <v>11</v>
      </c>
      <c r="G15" s="10" t="s">
        <v>12</v>
      </c>
      <c r="H15" s="3"/>
      <c r="I15" s="3"/>
      <c r="J15" s="3"/>
      <c r="K15" s="3"/>
      <c r="L15" s="3"/>
      <c r="M15" s="3"/>
      <c r="N15" s="3"/>
    </row>
    <row r="16" ht="15.6" spans="3:1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</sheetData>
  <mergeCells count="7">
    <mergeCell ref="C8:E8"/>
    <mergeCell ref="K8:N8"/>
    <mergeCell ref="C9:E9"/>
    <mergeCell ref="C12:G12"/>
    <mergeCell ref="C15:D15"/>
    <mergeCell ref="C13:D14"/>
    <mergeCell ref="C3:I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23"/>
  <sheetViews>
    <sheetView tabSelected="1" zoomScale="90" zoomScaleNormal="90" workbookViewId="0">
      <selection activeCell="L19" sqref="L19"/>
    </sheetView>
  </sheetViews>
  <sheetFormatPr defaultColWidth="8.83333333333333" defaultRowHeight="14.4"/>
  <cols>
    <col min="5" max="5" width="9.66666666666667" customWidth="1"/>
    <col min="7" max="7" width="13.5" customWidth="1"/>
    <col min="13" max="14" width="12.5" customWidth="1"/>
    <col min="15" max="15" width="13.5" customWidth="1"/>
    <col min="16" max="16" width="11.6666666666667" customWidth="1"/>
    <col min="17" max="18" width="10.5" customWidth="1"/>
  </cols>
  <sheetData>
    <row r="3" ht="15.6" spans="3:18">
      <c r="C3" s="1" t="s">
        <v>13</v>
      </c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</row>
    <row r="4" ht="15.6" spans="3:18"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</row>
    <row r="5" ht="15.6" spans="3:18"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</row>
    <row r="6" ht="15.6" spans="3:18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15.6" spans="3:18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5.6" spans="3:18">
      <c r="C8" s="4" t="s">
        <v>1</v>
      </c>
      <c r="D8" s="5"/>
      <c r="E8" s="5"/>
      <c r="F8" s="3"/>
      <c r="G8" s="3"/>
      <c r="H8" s="3"/>
      <c r="I8" s="3"/>
      <c r="J8" s="4" t="s">
        <v>2</v>
      </c>
      <c r="K8" s="5"/>
      <c r="L8" s="5"/>
      <c r="M8" s="5"/>
      <c r="N8" s="5"/>
      <c r="O8" s="5"/>
      <c r="P8" s="5"/>
      <c r="Q8" s="5"/>
      <c r="R8" s="5"/>
    </row>
    <row r="9" ht="15.6" spans="3:18">
      <c r="C9" s="5"/>
      <c r="D9" s="5"/>
      <c r="E9" s="5"/>
      <c r="F9" s="3"/>
      <c r="G9" s="3"/>
      <c r="H9" s="3"/>
      <c r="I9" s="3"/>
      <c r="J9" s="10" t="s">
        <v>14</v>
      </c>
      <c r="K9" s="10" t="s">
        <v>15</v>
      </c>
      <c r="L9" s="10" t="s">
        <v>16</v>
      </c>
      <c r="M9" s="9"/>
      <c r="N9" s="9"/>
      <c r="O9" s="9"/>
      <c r="P9" s="9"/>
      <c r="Q9" s="9"/>
      <c r="R9" s="9"/>
    </row>
    <row r="10" ht="15.6" spans="3:18">
      <c r="C10" s="5"/>
      <c r="D10" s="5"/>
      <c r="E10" s="5"/>
      <c r="F10" s="3"/>
      <c r="G10" s="3"/>
      <c r="H10" s="3"/>
      <c r="I10" s="3"/>
      <c r="J10" s="9">
        <v>13</v>
      </c>
      <c r="K10" s="9">
        <v>6</v>
      </c>
      <c r="L10" s="9">
        <f>J10-K10</f>
        <v>7</v>
      </c>
      <c r="M10" s="10" t="s">
        <v>17</v>
      </c>
      <c r="N10" s="10" t="s">
        <v>18</v>
      </c>
      <c r="O10" s="10" t="s">
        <v>19</v>
      </c>
      <c r="P10" s="10" t="s">
        <v>20</v>
      </c>
      <c r="Q10" s="10" t="s">
        <v>21</v>
      </c>
      <c r="R10" s="13" t="s">
        <v>22</v>
      </c>
    </row>
    <row r="11" ht="15.6" spans="3:18"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5.6" spans="3:18"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5.6" spans="3:18"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5.6" spans="3:18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4"/>
    </row>
    <row r="15" ht="15.6" spans="3:18">
      <c r="C15" s="4" t="s">
        <v>23</v>
      </c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5.6" spans="3:18">
      <c r="C16" s="4" t="s">
        <v>24</v>
      </c>
      <c r="D16" s="5"/>
      <c r="E16" s="5"/>
      <c r="F16" s="10" t="s">
        <v>14</v>
      </c>
      <c r="G16" s="11">
        <v>13</v>
      </c>
      <c r="H16" s="8"/>
      <c r="I16" s="3"/>
      <c r="J16" s="3"/>
      <c r="K16" s="3"/>
      <c r="L16" s="3"/>
      <c r="M16" s="3"/>
      <c r="N16" s="3"/>
      <c r="O16" s="3"/>
      <c r="P16" s="3"/>
      <c r="Q16" s="14"/>
      <c r="R16" s="3"/>
    </row>
    <row r="17" ht="15.6" spans="3:18">
      <c r="C17" s="6" t="s">
        <v>25</v>
      </c>
      <c r="D17" s="7"/>
      <c r="E17" s="8"/>
      <c r="F17" s="12"/>
      <c r="G17" s="10" t="s">
        <v>17</v>
      </c>
      <c r="H17" s="10" t="s">
        <v>8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5.6" spans="3:18">
      <c r="C18" s="6" t="s">
        <v>26</v>
      </c>
      <c r="D18" s="7"/>
      <c r="E18" s="8"/>
      <c r="F18" s="9"/>
      <c r="G18" s="10" t="s">
        <v>18</v>
      </c>
      <c r="H18" s="10" t="s">
        <v>8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5.6" spans="3:18">
      <c r="C19" s="4" t="s">
        <v>27</v>
      </c>
      <c r="D19" s="5"/>
      <c r="E19" s="5"/>
      <c r="F19" s="9"/>
      <c r="G19" s="10" t="s">
        <v>19</v>
      </c>
      <c r="H19" s="10" t="s">
        <v>8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5.6" spans="3:18">
      <c r="C20" s="4" t="s">
        <v>28</v>
      </c>
      <c r="D20" s="5"/>
      <c r="E20" s="5"/>
      <c r="F20" s="10" t="s">
        <v>15</v>
      </c>
      <c r="G20" s="11">
        <v>6</v>
      </c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5.6" spans="3:18">
      <c r="C21" s="4" t="s">
        <v>29</v>
      </c>
      <c r="D21" s="5"/>
      <c r="E21" s="5"/>
      <c r="F21" s="9"/>
      <c r="G21" s="10" t="s">
        <v>11</v>
      </c>
      <c r="H21" s="10" t="s">
        <v>30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5.6" spans="3:18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5.6" spans="3:18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</sheetData>
  <mergeCells count="16">
    <mergeCell ref="C8:E8"/>
    <mergeCell ref="J8:R8"/>
    <mergeCell ref="C9:E9"/>
    <mergeCell ref="C10:E10"/>
    <mergeCell ref="C11:E11"/>
    <mergeCell ref="C15:H15"/>
    <mergeCell ref="C16:E16"/>
    <mergeCell ref="G16:H16"/>
    <mergeCell ref="C17:E17"/>
    <mergeCell ref="C18:E18"/>
    <mergeCell ref="C19:E19"/>
    <mergeCell ref="C20:E20"/>
    <mergeCell ref="G20:H20"/>
    <mergeCell ref="C21:E21"/>
    <mergeCell ref="C3:H5"/>
    <mergeCell ref="C12:E1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19"/>
  <sheetViews>
    <sheetView workbookViewId="0">
      <selection activeCell="H23" sqref="H23"/>
    </sheetView>
  </sheetViews>
  <sheetFormatPr defaultColWidth="8.83333333333333" defaultRowHeight="14.4"/>
  <cols>
    <col min="3" max="3" width="11.6666666666667" customWidth="1"/>
    <col min="4" max="4" width="11.1666666666667" customWidth="1"/>
    <col min="5" max="5" width="11" customWidth="1"/>
  </cols>
  <sheetData>
    <row r="3" ht="15.6" spans="3:13">
      <c r="C3" s="1" t="s">
        <v>31</v>
      </c>
      <c r="D3" s="2"/>
      <c r="E3" s="2"/>
      <c r="F3" s="2"/>
      <c r="G3" s="2"/>
      <c r="H3" s="2"/>
      <c r="I3" s="3"/>
      <c r="J3" s="3"/>
      <c r="K3" s="3"/>
      <c r="L3" s="3"/>
      <c r="M3" s="3"/>
    </row>
    <row r="4" ht="15.6" spans="3:13">
      <c r="C4" s="2"/>
      <c r="D4" s="2"/>
      <c r="E4" s="2"/>
      <c r="F4" s="2"/>
      <c r="G4" s="2"/>
      <c r="H4" s="2"/>
      <c r="I4" s="3"/>
      <c r="J4" s="3"/>
      <c r="K4" s="3"/>
      <c r="L4" s="3"/>
      <c r="M4" s="3"/>
    </row>
    <row r="5" ht="15.6" spans="3:13">
      <c r="C5" s="2"/>
      <c r="D5" s="2"/>
      <c r="E5" s="2"/>
      <c r="F5" s="2"/>
      <c r="G5" s="2"/>
      <c r="H5" s="2"/>
      <c r="I5" s="3"/>
      <c r="J5" s="3"/>
      <c r="K5" s="3"/>
      <c r="L5" s="3"/>
      <c r="M5" s="3"/>
    </row>
    <row r="6" ht="15.6" spans="3:13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6" spans="3:13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6" spans="3:13">
      <c r="C8" s="4" t="s">
        <v>1</v>
      </c>
      <c r="D8" s="5"/>
      <c r="E8" s="5"/>
      <c r="F8" s="3"/>
      <c r="G8" s="3"/>
      <c r="H8" s="3"/>
      <c r="I8" s="3"/>
      <c r="J8" s="6" t="s">
        <v>2</v>
      </c>
      <c r="K8" s="7"/>
      <c r="L8" s="7"/>
      <c r="M8" s="8"/>
    </row>
    <row r="9" ht="15.6" spans="3:13">
      <c r="C9" s="5"/>
      <c r="D9" s="5"/>
      <c r="E9" s="5"/>
      <c r="F9" s="3"/>
      <c r="G9" s="3"/>
      <c r="H9" s="3"/>
      <c r="I9" s="3"/>
      <c r="J9" s="9"/>
      <c r="K9" s="10" t="s">
        <v>32</v>
      </c>
      <c r="L9" s="10" t="s">
        <v>33</v>
      </c>
      <c r="M9" s="10" t="s">
        <v>34</v>
      </c>
    </row>
    <row r="10" ht="15.6" spans="3:13">
      <c r="C10" s="5"/>
      <c r="D10" s="5"/>
      <c r="E10" s="5"/>
      <c r="F10" s="3"/>
      <c r="G10" s="3"/>
      <c r="H10" s="3"/>
      <c r="I10" s="3"/>
      <c r="J10" s="9">
        <v>640</v>
      </c>
      <c r="K10" s="9">
        <v>1600</v>
      </c>
      <c r="L10" s="9">
        <v>4800</v>
      </c>
      <c r="M10" s="9">
        <f>J10*2^-3</f>
        <v>80</v>
      </c>
    </row>
    <row r="11" ht="15.6" spans="3:1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6" spans="3:1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6" spans="3:13">
      <c r="C13" s="6" t="s">
        <v>5</v>
      </c>
      <c r="D13" s="7"/>
      <c r="E13" s="7"/>
      <c r="F13" s="7"/>
      <c r="G13" s="7"/>
      <c r="H13" s="8"/>
      <c r="I13" s="3"/>
      <c r="J13" s="3"/>
      <c r="K13" s="3"/>
      <c r="L13" s="3"/>
      <c r="M13" s="3"/>
    </row>
    <row r="14" ht="15.6" spans="3:13">
      <c r="C14" s="4" t="s">
        <v>35</v>
      </c>
      <c r="D14" s="5"/>
      <c r="E14" s="5"/>
      <c r="F14" s="9"/>
      <c r="G14" s="9">
        <v>640</v>
      </c>
      <c r="H14" s="10" t="s">
        <v>36</v>
      </c>
      <c r="I14" s="3"/>
      <c r="J14" s="3"/>
      <c r="K14" s="3"/>
      <c r="L14" s="3"/>
      <c r="M14" s="3"/>
    </row>
    <row r="15" ht="15.6" spans="3:13">
      <c r="C15" s="4" t="s">
        <v>37</v>
      </c>
      <c r="D15" s="5"/>
      <c r="E15" s="5"/>
      <c r="F15" s="10" t="s">
        <v>38</v>
      </c>
      <c r="G15" s="9">
        <v>1600</v>
      </c>
      <c r="H15" s="10" t="s">
        <v>39</v>
      </c>
      <c r="I15" s="3"/>
      <c r="J15" s="3"/>
      <c r="K15" s="3"/>
      <c r="L15" s="3"/>
      <c r="M15" s="3"/>
    </row>
    <row r="16" ht="15.6" spans="3:13">
      <c r="C16" s="4" t="s">
        <v>40</v>
      </c>
      <c r="D16" s="5"/>
      <c r="E16" s="5"/>
      <c r="F16" s="10" t="s">
        <v>41</v>
      </c>
      <c r="G16" s="9">
        <v>4800</v>
      </c>
      <c r="H16" s="10" t="s">
        <v>39</v>
      </c>
      <c r="I16" s="3"/>
      <c r="J16" s="3"/>
      <c r="K16" s="3"/>
      <c r="L16" s="3"/>
      <c r="M16" s="3"/>
    </row>
    <row r="17" ht="15.6" spans="3:13">
      <c r="C17" s="4" t="s">
        <v>42</v>
      </c>
      <c r="D17" s="5"/>
      <c r="E17" s="5"/>
      <c r="F17" s="10" t="s">
        <v>16</v>
      </c>
      <c r="G17" s="10" t="s">
        <v>11</v>
      </c>
      <c r="H17" s="10" t="s">
        <v>36</v>
      </c>
      <c r="I17" s="3"/>
      <c r="J17" s="3"/>
      <c r="K17" s="3"/>
      <c r="L17" s="3"/>
      <c r="M17" s="3"/>
    </row>
    <row r="18" ht="15.6" spans="3:1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5.6" spans="3:1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9">
    <mergeCell ref="C8:E8"/>
    <mergeCell ref="J8:M8"/>
    <mergeCell ref="C13:H13"/>
    <mergeCell ref="C14:E14"/>
    <mergeCell ref="C15:E15"/>
    <mergeCell ref="C16:E16"/>
    <mergeCell ref="C17:E17"/>
    <mergeCell ref="C3:H5"/>
    <mergeCell ref="C9:E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Есеп 1</vt:lpstr>
      <vt:lpstr>Есеп 2</vt:lpstr>
      <vt:lpstr>Есеп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Taiman</dc:creator>
  <cp:lastModifiedBy>Admin</cp:lastModifiedBy>
  <dcterms:created xsi:type="dcterms:W3CDTF">2025-04-16T12:46:00Z</dcterms:created>
  <dcterms:modified xsi:type="dcterms:W3CDTF">2025-06-02T18:07:38Z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90FBD59527284C84B141C5A852E446E7_12</vt:lpwstr>
  </property>
  <property fmtid="{D5CDD505-2E9C-101B-9397-08002B2CF9AE}" pid="3" name="KSOProductBuildVer">
    <vt:lpwstr>1049-12.2.0.21179</vt:lpwstr>
  </property>
</Properties>
</file>