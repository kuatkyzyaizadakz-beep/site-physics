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1-есе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<sst xmlns="http://schemas.openxmlformats.org/spreadsheetml/2006/main" count="23" uniqueCount="19">
  <si>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Алюминий ядросының байланыс энергиясын анықтаңдар.</t>
  </si>
  <si>
    <t>Есептеуіш формулалар</t>
  </si>
  <si>
    <t>Деректер  кестесі</t>
  </si>
  <si>
    <t>Протон саны</t>
  </si>
  <si>
    <t xml:space="preserve">      Z</t>
  </si>
  <si>
    <t>Нейтрон саны</t>
  </si>
  <si>
    <t xml:space="preserve">     N</t>
  </si>
  <si>
    <t>Протон массасы</t>
  </si>
  <si>
    <t>а.м.б.</t>
  </si>
  <si>
    <t>Нейтрон массасы</t>
  </si>
  <si>
    <t>Ядро массасы</t>
  </si>
  <si>
    <t>Т/к</t>
  </si>
  <si>
    <t>Я.массалық ақауы</t>
  </si>
  <si>
    <t xml:space="preserve">     ?</t>
  </si>
  <si>
    <t>Байланыс энергия</t>
  </si>
  <si>
    <t>МэВ</t>
  </si>
  <si>
    <t>Нәтиже  кестесі</t>
  </si>
  <si>
    <t>Z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</si>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</sst>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i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419100</xdr:colOff>
      <xdr:row>7</xdr:row>
      <xdr:rowOff>41910</xdr:rowOff>
    </xdr:from>
    <xdr:ext cx="2179320" cy="281242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024890" y="1383030"/>
              <a:ext cx="2179320" cy="2806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/>
                        <a:ea typeface="Cambria Math" panose="02040503050406030204"/>
                      </a:rPr>
                      <m:t>∆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𝑚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𝑍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/>
                                <a:ea typeface="Cambria Math" panose="02040503050406030204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/>
                                <a:ea typeface="Cambria Math" panose="02040503050406030204"/>
                              </a:rPr>
                              <m:t>𝑝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𝑁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/>
                                <a:ea typeface="Cambria Math" panose="02040503050406030204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/>
                                <a:ea typeface="Cambria Math" panose="02040503050406030204"/>
                              </a:rPr>
                              <m:t>𝑛</m:t>
                            </m:r>
                          </m:sub>
                        </m:sSub>
                      </m:e>
                    </m:d>
                    <m:r>
                      <a:rPr lang="en-US" sz="1100" b="0" i="0">
                        <a:latin typeface="Cambria Math" panose="02040503050406030204"/>
                        <a:ea typeface="Cambria Math" panose="02040503050406030204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ядро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024890" y="1383030"/>
              <a:ext cx="2179320" cy="2806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ru-RU" sz="1100">
                  <a:latin typeface="Cambria Math" panose="02040503050406030204"/>
                  <a:ea typeface="Cambria Math" panose="02040503050406030204"/>
                </a:rPr>
                <a:t>∆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𝑚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(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𝑍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_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𝑝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+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𝑁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_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𝑛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)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−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_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ядро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144780</xdr:colOff>
      <xdr:row>9</xdr:row>
      <xdr:rowOff>49530</xdr:rowOff>
    </xdr:from>
    <xdr:ext cx="1447800" cy="25694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356360" y="1786890"/>
              <a:ext cx="1447800" cy="256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𝑏</m:t>
                        </m:r>
                      </m:sub>
                    </m:sSub>
                    <m:r>
                      <a:rPr lang="ru-RU" sz="1100" i="1">
                        <a:latin typeface="Cambria Math" panose="02040503050406030204"/>
                        <a:ea typeface="Cambria Math" panose="02040503050406030204"/>
                      </a:rPr>
                      <m:t>=∆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𝑚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×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931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,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5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356360" y="1786890"/>
              <a:ext cx="1447800" cy="256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𝑏</a:t>
              </a:r>
              <a:r>
                <a:rPr lang="ru-RU" sz="1100">
                  <a:latin typeface="Cambria Math" panose="02040503050406030204"/>
                  <a:ea typeface="Cambria Math" panose="02040503050406030204"/>
                </a:rPr>
                <a:t>=∆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𝑚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×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931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,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5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30480</xdr:colOff>
      <xdr:row>8</xdr:row>
      <xdr:rowOff>125731</xdr:rowOff>
    </xdr:from>
    <xdr:ext cx="487680" cy="25970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6854190" y="1664970"/>
              <a:ext cx="487680" cy="2590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6854190" y="1664970"/>
              <a:ext cx="487680" cy="2590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𝑝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76200</xdr:colOff>
      <xdr:row>9</xdr:row>
      <xdr:rowOff>148590</xdr:rowOff>
    </xdr:from>
    <xdr:ext cx="426720" cy="249320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6899910" y="1885950"/>
              <a:ext cx="42672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6899910" y="1885950"/>
              <a:ext cx="42672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𝑛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30480</xdr:colOff>
      <xdr:row>10</xdr:row>
      <xdr:rowOff>140970</xdr:rowOff>
    </xdr:from>
    <xdr:ext cx="609600" cy="261824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6854190" y="2076450"/>
              <a:ext cx="609600" cy="261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ядро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6854190" y="2076450"/>
              <a:ext cx="609600" cy="261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ядро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99060</xdr:colOff>
      <xdr:row>11</xdr:row>
      <xdr:rowOff>163830</xdr:rowOff>
    </xdr:from>
    <xdr:ext cx="434340" cy="249320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6922770" y="2297430"/>
              <a:ext cx="43434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/>
                        <a:ea typeface="Cambria Math" panose="02040503050406030204"/>
                      </a:rPr>
                      <m:t>∆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𝑚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6922770" y="2297430"/>
              <a:ext cx="43434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ru-RU" sz="1100">
                  <a:latin typeface="Cambria Math" panose="02040503050406030204"/>
                  <a:ea typeface="Cambria Math" panose="02040503050406030204"/>
                </a:rPr>
                <a:t>∆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𝑚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60960</xdr:colOff>
      <xdr:row>12</xdr:row>
      <xdr:rowOff>140970</xdr:rowOff>
    </xdr:from>
    <xdr:ext cx="457200" cy="247650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6884670" y="2472690"/>
              <a:ext cx="457200" cy="247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6884670" y="2472690"/>
              <a:ext cx="457200" cy="247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𝑏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533400</xdr:colOff>
      <xdr:row>17</xdr:row>
      <xdr:rowOff>125731</xdr:rowOff>
    </xdr:from>
    <xdr:ext cx="868680" cy="259707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2956560" y="3448050"/>
              <a:ext cx="868680" cy="2590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/>
                        </a:rPr>
                        <m:t>𝑚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𝑝</m:t>
                      </m:r>
                    </m:sub>
                  </m:sSub>
                </m:oMath>
              </a14:m>
              <a:r>
                <a:rPr lang="en-US" sz="1100"/>
                <a:t>,а.м.б.</a:t>
              </a:r>
              <a:endParaRPr lang="ru-RU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2956560" y="3448050"/>
              <a:ext cx="868680" cy="2590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𝑝</a:t>
              </a:r>
              <a:r>
                <a:rPr lang="en-US" sz="1100"/>
                <a:t>,а.м.б.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548640</xdr:colOff>
      <xdr:row>17</xdr:row>
      <xdr:rowOff>140970</xdr:rowOff>
    </xdr:from>
    <xdr:ext cx="784860" cy="247650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3577590" y="3463290"/>
              <a:ext cx="784860" cy="247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/>
                        </a:rPr>
                        <m:t>𝑚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𝑛</m:t>
                      </m:r>
                    </m:sub>
                  </m:sSub>
                </m:oMath>
              </a14:m>
              <a:r>
                <a:rPr lang="ru-RU" sz="1100"/>
                <a:t>,а.м.б.</a:t>
              </a:r>
              <a:endParaRPr lang="ru-RU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3577590" y="3463290"/>
              <a:ext cx="784860" cy="247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𝑛</a:t>
              </a:r>
              <a:r>
                <a:rPr lang="ru-RU" sz="1100"/>
                <a:t>,а.м.б.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563880</xdr:colOff>
      <xdr:row>17</xdr:row>
      <xdr:rowOff>140970</xdr:rowOff>
    </xdr:from>
    <xdr:ext cx="800100" cy="249320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10"/>
            <xdr:cNvSpPr txBox="1"/>
          </xdr:nvSpPr>
          <xdr:spPr>
            <a:xfrm>
              <a:off x="4316730" y="3463290"/>
              <a:ext cx="80010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/>
                        </a:rPr>
                        <m:t>𝑚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я</m:t>
                      </m:r>
                    </m:sub>
                  </m:sSub>
                </m:oMath>
              </a14:m>
              <a:r>
                <a:rPr lang="ru-RU" sz="1100"/>
                <a:t>,а.м.б.</a:t>
              </a:r>
              <a:endParaRPr lang="ru-RU" sz="1100"/>
            </a:p>
          </xdr:txBody>
        </xdr:sp>
      </mc:Choice>
      <mc:Fallback>
        <xdr:sp>
          <xdr:nvSpPr>
            <xdr:cNvPr id="11" name="TextBox 10"/>
            <xdr:cNvSpPr txBox="1"/>
          </xdr:nvSpPr>
          <xdr:spPr>
            <a:xfrm>
              <a:off x="4316730" y="3463290"/>
              <a:ext cx="80010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я</a:t>
              </a:r>
              <a:r>
                <a:rPr lang="ru-RU" sz="1100"/>
                <a:t>,а.м.б.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533400</xdr:colOff>
      <xdr:row>17</xdr:row>
      <xdr:rowOff>156210</xdr:rowOff>
    </xdr:from>
    <xdr:ext cx="830580" cy="249320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11"/>
            <xdr:cNvSpPr txBox="1"/>
          </xdr:nvSpPr>
          <xdr:spPr>
            <a:xfrm>
              <a:off x="5010150" y="3478530"/>
              <a:ext cx="83058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/>
                      <a:ea typeface="Cambria Math" panose="02040503050406030204"/>
                    </a:rPr>
                    <m:t>∆</m:t>
                  </m:r>
                  <m:r>
                    <a:rPr lang="en-US" sz="1100" b="0" i="1">
                      <a:latin typeface="Cambria Math" panose="02040503050406030204"/>
                      <a:ea typeface="Cambria Math" panose="02040503050406030204"/>
                    </a:rPr>
                    <m:t>𝑚</m:t>
                  </m:r>
                </m:oMath>
              </a14:m>
              <a:r>
                <a:rPr lang="ru-RU" sz="1100"/>
                <a:t>,а.м.б.</a:t>
              </a:r>
              <a:endParaRPr lang="ru-RU" sz="1100"/>
            </a:p>
          </xdr:txBody>
        </xdr:sp>
      </mc:Choice>
      <mc:Fallback>
        <xdr:sp>
          <xdr:nvSpPr>
            <xdr:cNvPr id="12" name="TextBox 11"/>
            <xdr:cNvSpPr txBox="1"/>
          </xdr:nvSpPr>
          <xdr:spPr>
            <a:xfrm>
              <a:off x="5010150" y="3478530"/>
              <a:ext cx="83058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ru-RU" sz="1100">
                  <a:latin typeface="Cambria Math" panose="02040503050406030204"/>
                  <a:ea typeface="Cambria Math" panose="02040503050406030204"/>
                </a:rPr>
                <a:t>∆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𝑚</a:t>
              </a:r>
              <a:r>
                <a:rPr lang="ru-RU" sz="1100"/>
                <a:t>,а.м.б.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30480</xdr:colOff>
      <xdr:row>17</xdr:row>
      <xdr:rowOff>133350</xdr:rowOff>
    </xdr:from>
    <xdr:ext cx="678180" cy="249320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12"/>
            <xdr:cNvSpPr txBox="1"/>
          </xdr:nvSpPr>
          <xdr:spPr>
            <a:xfrm>
              <a:off x="5955030" y="3455670"/>
              <a:ext cx="67818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/>
                        </a:rPr>
                        <m:t>𝐸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𝑏</m:t>
                      </m:r>
                    </m:sub>
                  </m:sSub>
                </m:oMath>
              </a14:m>
              <a:r>
                <a:rPr lang="ru-RU" sz="1100"/>
                <a:t>,МэВ</a:t>
              </a:r>
              <a:endParaRPr lang="ru-RU" sz="1100"/>
            </a:p>
          </xdr:txBody>
        </xdr:sp>
      </mc:Choice>
      <mc:Fallback>
        <xdr:sp>
          <xdr:nvSpPr>
            <xdr:cNvPr id="13" name="TextBox 12"/>
            <xdr:cNvSpPr txBox="1"/>
          </xdr:nvSpPr>
          <xdr:spPr>
            <a:xfrm>
              <a:off x="5955030" y="3455670"/>
              <a:ext cx="67818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𝑏</a:t>
              </a:r>
              <a:r>
                <a:rPr lang="ru-RU" sz="1100"/>
                <a:t>,МэВ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P22"/>
  <sheetViews>
    <sheetView tabSelected="1" workbookViewId="0">
      <selection activeCell="O14" sqref="O14"/>
    </sheetView>
  </sheetViews>
  <sheetFormatPr defaultColWidth="8.83333333333333" defaultRowHeight="14.4"/>
  <cols>
    <col min="6" max="9" width="10.5555555555556"/>
    <col min="10" max="10" width="13.1111111111111"/>
    <col min="12" max="12" width="11.7777777777778"/>
  </cols>
  <sheetData>
    <row r="4" ht="15.6" spans="3:13">
      <c r="C4" s="1" t="s">
        <v>0</v>
      </c>
      <c r="D4" s="2"/>
      <c r="E4" s="2"/>
      <c r="F4" s="2"/>
      <c r="G4" s="2"/>
      <c r="H4" s="2"/>
      <c r="I4" s="2"/>
      <c r="J4" s="3"/>
      <c r="K4" s="3"/>
      <c r="L4" s="3"/>
      <c r="M4" s="3"/>
    </row>
    <row r="5" ht="15.6" spans="3:13"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.6" spans="3:13"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5.6" spans="3:13">
      <c r="C7" s="4" t="s">
        <v>1</v>
      </c>
      <c r="D7" s="4"/>
      <c r="E7" s="4"/>
      <c r="F7" s="3"/>
      <c r="G7" s="3"/>
      <c r="H7" s="1" t="s">
        <v>2</v>
      </c>
      <c r="I7" s="2"/>
      <c r="J7" s="2"/>
      <c r="K7" s="2"/>
      <c r="L7" s="2"/>
      <c r="M7" s="2"/>
    </row>
    <row r="8" ht="15.6" spans="3:16">
      <c r="C8" s="2"/>
      <c r="D8" s="2"/>
      <c r="E8" s="2"/>
      <c r="F8" s="3"/>
      <c r="G8" s="3"/>
      <c r="H8" s="1" t="s">
        <v>3</v>
      </c>
      <c r="I8" s="2"/>
      <c r="J8" s="2"/>
      <c r="K8" s="7" t="s">
        <v>4</v>
      </c>
      <c r="L8" s="8">
        <v>13</v>
      </c>
      <c r="M8" s="8"/>
      <c r="P8" s="9"/>
    </row>
    <row r="9" ht="15.6" spans="3:13">
      <c r="C9" s="2"/>
      <c r="D9" s="2"/>
      <c r="E9" s="2"/>
      <c r="F9" s="3"/>
      <c r="G9" s="3"/>
      <c r="H9" s="1" t="s">
        <v>5</v>
      </c>
      <c r="I9" s="2"/>
      <c r="J9" s="2"/>
      <c r="K9" s="7" t="s">
        <v>6</v>
      </c>
      <c r="L9" s="8">
        <v>14</v>
      </c>
      <c r="M9" s="8"/>
    </row>
    <row r="10" ht="15.6" spans="3:13">
      <c r="C10" s="2"/>
      <c r="D10" s="2"/>
      <c r="E10" s="2"/>
      <c r="F10" s="3"/>
      <c r="G10" s="3"/>
      <c r="H10" s="1" t="s">
        <v>7</v>
      </c>
      <c r="I10" s="2"/>
      <c r="J10" s="2"/>
      <c r="K10" s="8"/>
      <c r="L10" s="8">
        <v>1.007276</v>
      </c>
      <c r="M10" s="10" t="s">
        <v>8</v>
      </c>
    </row>
    <row r="11" ht="15.6" spans="3:13">
      <c r="C11" s="2"/>
      <c r="D11" s="2"/>
      <c r="E11" s="2"/>
      <c r="F11" s="3"/>
      <c r="G11" s="3"/>
      <c r="H11" s="1" t="s">
        <v>9</v>
      </c>
      <c r="I11" s="2"/>
      <c r="J11" s="2"/>
      <c r="K11" s="8"/>
      <c r="L11" s="8">
        <v>1.008665</v>
      </c>
      <c r="M11" s="10" t="s">
        <v>8</v>
      </c>
    </row>
    <row r="12" ht="15.6" spans="3:13">
      <c r="C12" s="3"/>
      <c r="D12" s="3"/>
      <c r="E12" s="3"/>
      <c r="F12" s="3"/>
      <c r="G12" s="3"/>
      <c r="H12" s="1" t="s">
        <v>10</v>
      </c>
      <c r="I12" s="2"/>
      <c r="J12" s="2"/>
      <c r="K12" s="8"/>
      <c r="L12" s="8">
        <v>26.961538</v>
      </c>
      <c r="M12" s="10" t="s">
        <v>8</v>
      </c>
    </row>
    <row r="13" ht="15.6" spans="3:13">
      <c r="C13" s="3"/>
      <c r="D13" s="3"/>
      <c r="E13" s="3"/>
      <c r="F13" s="3"/>
      <c r="G13" s="3"/>
      <c r="H13" s="5" t="s">
        <v>11</v>
      </c>
      <c r="I13" s="1" t="s">
        <v>12</v>
      </c>
      <c r="J13" s="2"/>
      <c r="K13" s="8"/>
      <c r="L13" s="10" t="s">
        <v>13</v>
      </c>
      <c r="M13" s="10" t="s">
        <v>8</v>
      </c>
    </row>
    <row r="14" ht="15.6" spans="3:13">
      <c r="C14" s="3"/>
      <c r="D14" s="3"/>
      <c r="E14" s="3"/>
      <c r="F14" s="3"/>
      <c r="G14" s="3"/>
      <c r="H14" s="6"/>
      <c r="I14" s="1" t="s">
        <v>14</v>
      </c>
      <c r="J14" s="2"/>
      <c r="K14" s="8"/>
      <c r="L14" s="10" t="s">
        <v>13</v>
      </c>
      <c r="M14" s="10" t="s">
        <v>15</v>
      </c>
    </row>
    <row r="15" ht="15.6" spans="3:1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6" spans="3:1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5.6" spans="3:1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5.6" spans="3:13">
      <c r="C18" s="3"/>
      <c r="D18" s="1" t="s">
        <v>16</v>
      </c>
      <c r="E18" s="2"/>
      <c r="F18" s="2"/>
      <c r="G18" s="2"/>
      <c r="H18" s="2"/>
      <c r="I18" s="2"/>
      <c r="J18" s="2"/>
      <c r="K18" s="3"/>
      <c r="L18" s="3"/>
      <c r="M18" s="3"/>
    </row>
    <row r="19" ht="15.6" spans="3:13">
      <c r="C19" s="3"/>
      <c r="D19" s="7" t="s">
        <v>17</v>
      </c>
      <c r="E19" s="7" t="s">
        <v>18</v>
      </c>
      <c r="F19" s="8"/>
      <c r="G19" s="8"/>
      <c r="H19" s="8"/>
      <c r="I19" s="8"/>
      <c r="J19" s="8"/>
      <c r="K19" s="3"/>
      <c r="L19" s="3"/>
      <c r="M19" s="3"/>
    </row>
    <row r="20" ht="15.6" spans="3:13">
      <c r="C20" s="3"/>
      <c r="D20" s="8">
        <v>13</v>
      </c>
      <c r="E20" s="8">
        <v>14</v>
      </c>
      <c r="F20" s="8">
        <v>1.007276</v>
      </c>
      <c r="G20" s="8">
        <v>1.008665</v>
      </c>
      <c r="H20" s="8">
        <v>26.96154</v>
      </c>
      <c r="I20" s="8">
        <f>(($D$20*$F$20)+($E$20*$G$20))-$H$20</f>
        <v>0.254358000000003</v>
      </c>
      <c r="J20" s="8">
        <f>$I$20*931.5</f>
        <v>236.934477000003</v>
      </c>
      <c r="K20" s="3"/>
      <c r="L20" s="3"/>
      <c r="M20" s="3"/>
    </row>
    <row r="21" ht="15.6" spans="3:13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5.6" spans="3:1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</sheetData>
  <mergeCells count="14">
    <mergeCell ref="C4:I4"/>
    <mergeCell ref="C7:E7"/>
    <mergeCell ref="H7:M7"/>
    <mergeCell ref="H8:J8"/>
    <mergeCell ref="H9:J9"/>
    <mergeCell ref="H10:J10"/>
    <mergeCell ref="H11:J11"/>
    <mergeCell ref="H12:J12"/>
    <mergeCell ref="I13:J13"/>
    <mergeCell ref="I14:J14"/>
    <mergeCell ref="D18:J18"/>
    <mergeCell ref="H13:H14"/>
    <mergeCell ref="C8:E9"/>
    <mergeCell ref="C10:E1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2025-03-28T19:27:00Z</dcterms:created>
  <dcterms:modified xsi:type="dcterms:W3CDTF">2025-06-02T19:05:29Z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4E2D53BF038347C3A18191A6D86F06A4_12</vt:lpwstr>
  </property>
  <property fmtid="{D5CDD505-2E9C-101B-9397-08002B2CF9AE}" pid="3" name="KSOProductBuildVer">
    <vt:lpwstr>1049-12.2.0.21179</vt:lpwstr>
  </property>
</Properties>
</file>