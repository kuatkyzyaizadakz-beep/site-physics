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1-есеп" sheetId="2" r:id="rId1"/>
    <sheet name="2-есеп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<sst xmlns="http://schemas.openxmlformats.org/spreadsheetml/2006/main" count="27" uniqueCount="21">
  <si>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Биіктігі 0,8 м тегіс көлбеу жазықтықтан сырғанаған дененің жерге түсу жылдамдығын анықтаңдар.</t>
  </si>
  <si>
    <t>Есептеуіш формула</t>
  </si>
  <si>
    <t>Нәтижелер кестесі</t>
  </si>
  <si>
    <t>Деректер кестесі</t>
  </si>
  <si>
    <t>Биіктігі</t>
  </si>
  <si>
    <t>м</t>
  </si>
  <si>
    <t>Еркін түсу үдеуі</t>
  </si>
  <si>
    <t>м/с^2</t>
  </si>
  <si>
    <t>Т/к</t>
  </si>
  <si>
    <t>?</t>
  </si>
  <si>
    <t>м/с</t>
  </si>
  <si>
    <t>Қатаңдығы 1000 Н/м серіппе 6 см созылған. Осы серіппені қосымша тағы да 8 см созу үшін қандай жұмыс жасау қажет?</t>
  </si>
  <si>
    <t>A, Дж</t>
  </si>
  <si>
    <t xml:space="preserve">Деректер кестесі </t>
  </si>
  <si>
    <t>Қатаңдығы</t>
  </si>
  <si>
    <t>k</t>
  </si>
  <si>
    <t>Н/м</t>
  </si>
  <si>
    <t>Серіппенің ұзаруы</t>
  </si>
  <si>
    <t>Жұмыс</t>
  </si>
  <si>
    <t>A</t>
  </si>
  <si>
    <t>Дж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</si>
</sst>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160020</xdr:colOff>
      <xdr:row>6</xdr:row>
      <xdr:rowOff>179070</xdr:rowOff>
    </xdr:from>
    <xdr:ext cx="787780" cy="32921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371600" y="1291590"/>
              <a:ext cx="787400" cy="3289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𝑚𝑔ℎ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371600" y="1291590"/>
              <a:ext cx="787400" cy="3289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167640</xdr:colOff>
      <xdr:row>8</xdr:row>
      <xdr:rowOff>3810</xdr:rowOff>
    </xdr:from>
    <xdr:ext cx="825611" cy="499901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379220" y="1482090"/>
              <a:ext cx="825500" cy="4997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379220" y="1482090"/>
              <a:ext cx="825500" cy="4997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91440</xdr:colOff>
      <xdr:row>10</xdr:row>
      <xdr:rowOff>19051</xdr:rowOff>
    </xdr:from>
    <xdr:ext cx="1453860" cy="33909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303020" y="1863090"/>
              <a:ext cx="1453515" cy="339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𝑚𝑔ℎ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303020" y="1863090"/>
              <a:ext cx="1453515" cy="339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388620</xdr:colOff>
      <xdr:row>11</xdr:row>
      <xdr:rowOff>156210</xdr:rowOff>
    </xdr:from>
    <xdr:ext cx="651269" cy="1973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600200" y="2197100"/>
              <a:ext cx="65087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𝜗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𝑔ℎ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600200" y="2197100"/>
              <a:ext cx="65087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𝜗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220980</xdr:colOff>
      <xdr:row>18</xdr:row>
      <xdr:rowOff>19050</xdr:rowOff>
    </xdr:from>
    <xdr:ext cx="117661" cy="164607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2038350" y="3340100"/>
              <a:ext cx="11747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2038350" y="3340100"/>
              <a:ext cx="11747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358140</xdr:colOff>
      <xdr:row>7</xdr:row>
      <xdr:rowOff>3810</xdr:rowOff>
    </xdr:from>
    <xdr:ext cx="39639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5204460" y="129921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5204460" y="1299210"/>
              <a:ext cx="3962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 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м/с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175260</xdr:colOff>
      <xdr:row>8</xdr:row>
      <xdr:rowOff>26670</xdr:rowOff>
    </xdr:from>
    <xdr:ext cx="464551" cy="16460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426970" y="1565910"/>
              <a:ext cx="46418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426970" y="1565910"/>
              <a:ext cx="46418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15240</xdr:colOff>
      <xdr:row>7</xdr:row>
      <xdr:rowOff>11430</xdr:rowOff>
    </xdr:from>
    <xdr:ext cx="91063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266950" y="1352550"/>
              <a:ext cx="910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</m:e>
                      <m:sub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+ ∆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266950" y="1352550"/>
              <a:ext cx="910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+ ∆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502920</xdr:colOff>
      <xdr:row>9</xdr:row>
      <xdr:rowOff>11431</xdr:rowOff>
    </xdr:from>
    <xdr:ext cx="4172296" cy="33909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040130" y="1748790"/>
              <a:ext cx="4171950" cy="339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</m:e>
                      <m:sub>
                        <m: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к</m:t>
                            </m:r>
                            <m:d>
                              <m:d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ru-RU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х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+∆х</m:t>
                                </m:r>
                              </m:e>
                            </m:d>
                          </m:e>
                          <m:sup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. </m:t>
                    </m:r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040130" y="1748790"/>
              <a:ext cx="4171950" cy="339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+∆х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.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304800</xdr:colOff>
      <xdr:row>10</xdr:row>
      <xdr:rowOff>148590</xdr:rowOff>
    </xdr:from>
    <xdr:ext cx="1088375" cy="526329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950720" y="2084070"/>
              <a:ext cx="1087755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А= 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Е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п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950720" y="2084070"/>
              <a:ext cx="1087755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А=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Е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п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220980</xdr:colOff>
      <xdr:row>12</xdr:row>
      <xdr:rowOff>3810</xdr:rowOff>
    </xdr:from>
    <xdr:ext cx="1503489" cy="504711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1866900" y="2523490"/>
              <a:ext cx="1503045" cy="504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А=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к</m:t>
                            </m:r>
                            <m:d>
                              <m:d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ru-RU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х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+∆х</m:t>
                                </m:r>
                              </m:e>
                            </m:d>
                          </m:e>
                          <m:sup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х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1866900" y="2523490"/>
              <a:ext cx="1503045" cy="504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А=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+∆х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х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205740</xdr:colOff>
      <xdr:row>17</xdr:row>
      <xdr:rowOff>179070</xdr:rowOff>
    </xdr:from>
    <xdr:ext cx="167738" cy="164607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457450" y="3689350"/>
              <a:ext cx="16764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457450" y="3689350"/>
              <a:ext cx="16764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𝑥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198120</xdr:colOff>
      <xdr:row>19</xdr:row>
      <xdr:rowOff>19050</xdr:rowOff>
    </xdr:from>
    <xdr:ext cx="195310" cy="16460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2449830" y="3925570"/>
              <a:ext cx="1949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2449830" y="3925570"/>
              <a:ext cx="194945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𝑥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19"/>
  <sheetViews>
    <sheetView workbookViewId="0">
      <selection activeCell="H25" sqref="H25"/>
    </sheetView>
  </sheetViews>
  <sheetFormatPr defaultColWidth="8.83333333333333" defaultRowHeight="14.4"/>
  <sheetData>
    <row r="3" spans="3:14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15.6" spans="3:14">
      <c r="C4" s="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7"/>
    </row>
    <row r="5" spans="3:14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3:14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3:14">
      <c r="C7" s="8" t="s">
        <v>1</v>
      </c>
      <c r="D7" s="9"/>
      <c r="E7" s="9"/>
      <c r="F7" s="7"/>
      <c r="G7" s="7"/>
      <c r="H7" s="7"/>
      <c r="I7" s="12" t="s">
        <v>2</v>
      </c>
      <c r="J7" s="11"/>
      <c r="K7" s="7"/>
      <c r="L7" s="7"/>
      <c r="M7" s="7"/>
      <c r="N7" s="7"/>
    </row>
    <row r="8" spans="3:14">
      <c r="C8" s="9"/>
      <c r="D8" s="9"/>
      <c r="E8" s="9"/>
      <c r="F8" s="7"/>
      <c r="G8" s="7"/>
      <c r="H8" s="7"/>
      <c r="I8" s="9"/>
      <c r="J8" s="9"/>
      <c r="K8" s="7"/>
      <c r="L8" s="7"/>
      <c r="M8" s="7"/>
      <c r="N8" s="7"/>
    </row>
    <row r="9" spans="3:14">
      <c r="C9" s="9"/>
      <c r="D9" s="9"/>
      <c r="E9" s="9"/>
      <c r="F9" s="7"/>
      <c r="G9" s="7"/>
      <c r="H9" s="7"/>
      <c r="I9" s="9">
        <f>SQRT(2*E18*E17)</f>
        <v>3.95979797464467</v>
      </c>
      <c r="J9" s="9"/>
      <c r="K9" s="7"/>
      <c r="L9" s="7"/>
      <c r="M9" s="7"/>
      <c r="N9" s="7"/>
    </row>
    <row r="10" spans="3:14">
      <c r="C10" s="9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</row>
    <row r="11" ht="15.5" customHeight="1" spans="3:14">
      <c r="C11" s="10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</row>
    <row r="12" spans="3:14">
      <c r="C12" s="10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</row>
    <row r="13" spans="3:14">
      <c r="C13" s="9"/>
      <c r="D13" s="9"/>
      <c r="E13" s="9"/>
      <c r="F13" s="7"/>
      <c r="G13" s="7"/>
      <c r="H13" s="7"/>
      <c r="I13" s="7"/>
      <c r="J13" s="7"/>
      <c r="K13" s="7"/>
      <c r="L13" s="7"/>
      <c r="M13" s="7"/>
      <c r="N13" s="7"/>
    </row>
    <row r="14" spans="3:14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3:14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3:14">
      <c r="C16" s="8" t="s">
        <v>3</v>
      </c>
      <c r="D16" s="9"/>
      <c r="E16" s="9"/>
      <c r="F16" s="9"/>
      <c r="G16" s="7"/>
      <c r="H16" s="7"/>
      <c r="I16" s="7"/>
      <c r="J16" s="7"/>
      <c r="K16" s="7"/>
      <c r="L16" s="7"/>
      <c r="M16" s="7"/>
      <c r="N16" s="7"/>
    </row>
    <row r="17" spans="3:14">
      <c r="C17" s="8" t="s">
        <v>4</v>
      </c>
      <c r="D17" s="9"/>
      <c r="E17" s="11">
        <v>0.8</v>
      </c>
      <c r="F17" s="12" t="s">
        <v>5</v>
      </c>
      <c r="G17" s="7"/>
      <c r="H17" s="7"/>
      <c r="I17" s="7"/>
      <c r="J17" s="7"/>
      <c r="K17" s="7"/>
      <c r="L17" s="7"/>
      <c r="M17" s="7"/>
      <c r="N17" s="7"/>
    </row>
    <row r="18" spans="3:14">
      <c r="C18" s="8" t="s">
        <v>6</v>
      </c>
      <c r="D18" s="9"/>
      <c r="E18" s="11">
        <v>9.8</v>
      </c>
      <c r="F18" s="12" t="s">
        <v>7</v>
      </c>
      <c r="G18" s="7"/>
      <c r="H18" s="7"/>
      <c r="I18" s="7"/>
      <c r="J18" s="7"/>
      <c r="K18" s="7"/>
      <c r="L18" s="7"/>
      <c r="M18" s="7"/>
      <c r="N18" s="7"/>
    </row>
    <row r="19" spans="3:14">
      <c r="C19" s="12" t="s">
        <v>8</v>
      </c>
      <c r="D19" s="11"/>
      <c r="E19" s="12" t="s">
        <v>9</v>
      </c>
      <c r="F19" s="12" t="s">
        <v>10</v>
      </c>
      <c r="G19" s="7"/>
      <c r="H19" s="7"/>
      <c r="I19" s="7"/>
      <c r="J19" s="7"/>
      <c r="K19" s="7"/>
      <c r="L19" s="7"/>
      <c r="M19" s="7"/>
      <c r="N19" s="7"/>
    </row>
  </sheetData>
  <mergeCells count="11">
    <mergeCell ref="C4:M4"/>
    <mergeCell ref="C7:E7"/>
    <mergeCell ref="C8:E8"/>
    <mergeCell ref="I8:J8"/>
    <mergeCell ref="I9:J9"/>
    <mergeCell ref="C13:E13"/>
    <mergeCell ref="C16:F16"/>
    <mergeCell ref="C17:D17"/>
    <mergeCell ref="C18:D18"/>
    <mergeCell ref="C11:E12"/>
    <mergeCell ref="C9:E1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O24"/>
  <sheetViews>
    <sheetView tabSelected="1" workbookViewId="0">
      <selection activeCell="K10" sqref="K10"/>
    </sheetView>
  </sheetViews>
  <sheetFormatPr defaultColWidth="8.83333333333333" defaultRowHeight="14.4"/>
  <cols>
    <col min="2" max="2" width="6.33333333333333" customWidth="1"/>
    <col min="8" max="8" width="12.4444444444444" customWidth="1"/>
    <col min="12" max="12" width="10.1111111111111" customWidth="1"/>
  </cols>
  <sheetData>
    <row r="4" ht="15.6" spans="3:15"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6" spans="3:1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5.6" spans="3:1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5.6" spans="3:15">
      <c r="C7" s="3" t="s">
        <v>1</v>
      </c>
      <c r="D7" s="4"/>
      <c r="E7" s="4"/>
      <c r="F7" s="4"/>
      <c r="G7" s="4"/>
      <c r="H7" s="4"/>
      <c r="I7" s="2"/>
      <c r="J7" s="2"/>
      <c r="K7" s="5" t="s">
        <v>2</v>
      </c>
      <c r="L7" s="6"/>
      <c r="M7" s="2"/>
      <c r="N7" s="2"/>
      <c r="O7" s="2"/>
    </row>
    <row r="8" ht="15.6" spans="3:15">
      <c r="C8" s="4"/>
      <c r="D8" s="4"/>
      <c r="E8" s="4"/>
      <c r="F8" s="4"/>
      <c r="G8" s="4"/>
      <c r="H8" s="4"/>
      <c r="I8" s="2"/>
      <c r="J8" s="2"/>
      <c r="K8" s="3" t="s">
        <v>12</v>
      </c>
      <c r="L8" s="4"/>
      <c r="M8" s="2"/>
      <c r="N8" s="2"/>
      <c r="O8" s="2"/>
    </row>
    <row r="9" ht="15.6" spans="3:15">
      <c r="C9" s="4"/>
      <c r="D9" s="4"/>
      <c r="E9" s="4"/>
      <c r="F9" s="4"/>
      <c r="G9" s="4"/>
      <c r="H9" s="4"/>
      <c r="I9" s="2"/>
      <c r="J9" s="2"/>
      <c r="K9" s="4">
        <f>((F18*((F19+F20)^2)/2)-(F18*F19^2/2))</f>
        <v>8</v>
      </c>
      <c r="L9" s="4"/>
      <c r="M9" s="2"/>
      <c r="N9" s="2"/>
      <c r="O9" s="2"/>
    </row>
    <row r="10" ht="15.6" spans="3:15"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</row>
    <row r="11" ht="22" customHeight="1" spans="3:15"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</row>
    <row r="12" ht="24" customHeight="1" spans="3:15"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</row>
    <row r="13" ht="15.6" spans="3:15"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</row>
    <row r="14" ht="15.6" spans="3:15"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</row>
    <row r="15" ht="15.6" spans="3:1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5.6" spans="3:1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5.6" spans="3:15">
      <c r="C17" s="3" t="s">
        <v>13</v>
      </c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</row>
    <row r="18" ht="15.6" spans="3:15">
      <c r="C18" s="3" t="s">
        <v>14</v>
      </c>
      <c r="D18" s="4"/>
      <c r="E18" s="5" t="s">
        <v>15</v>
      </c>
      <c r="F18" s="6">
        <v>1000</v>
      </c>
      <c r="G18" s="5" t="s">
        <v>16</v>
      </c>
      <c r="H18" s="2"/>
      <c r="I18" s="2"/>
      <c r="J18" s="2"/>
      <c r="K18" s="2"/>
      <c r="L18" s="2"/>
      <c r="M18" s="2"/>
      <c r="N18" s="2"/>
      <c r="O18" s="2"/>
    </row>
    <row r="19" ht="15.6" spans="3:15">
      <c r="C19" s="3" t="s">
        <v>17</v>
      </c>
      <c r="D19" s="4"/>
      <c r="E19" s="6"/>
      <c r="F19" s="6">
        <v>0.06</v>
      </c>
      <c r="G19" s="5" t="s">
        <v>5</v>
      </c>
      <c r="H19" s="2"/>
      <c r="I19" s="2"/>
      <c r="J19" s="2"/>
      <c r="K19" s="2"/>
      <c r="L19" s="2"/>
      <c r="M19" s="2"/>
      <c r="N19" s="2"/>
      <c r="O19" s="2"/>
    </row>
    <row r="20" ht="15.6" spans="3:15">
      <c r="C20" s="4"/>
      <c r="D20" s="4"/>
      <c r="E20" s="6"/>
      <c r="F20" s="6">
        <v>0.08</v>
      </c>
      <c r="G20" s="5" t="s">
        <v>5</v>
      </c>
      <c r="H20" s="2"/>
      <c r="I20" s="2"/>
      <c r="J20" s="2"/>
      <c r="K20" s="2"/>
      <c r="L20" s="2"/>
      <c r="M20" s="2"/>
      <c r="N20" s="2"/>
      <c r="O20" s="2"/>
    </row>
    <row r="21" ht="15.6" spans="3:15">
      <c r="C21" s="5" t="s">
        <v>8</v>
      </c>
      <c r="D21" s="5" t="s">
        <v>18</v>
      </c>
      <c r="E21" s="5" t="s">
        <v>19</v>
      </c>
      <c r="F21" s="5" t="s">
        <v>9</v>
      </c>
      <c r="G21" s="5" t="s">
        <v>20</v>
      </c>
      <c r="H21" s="2"/>
      <c r="I21" s="2"/>
      <c r="J21" s="2"/>
      <c r="K21" s="2"/>
      <c r="L21" s="2"/>
      <c r="M21" s="2"/>
      <c r="N21" s="2"/>
      <c r="O21" s="2"/>
    </row>
    <row r="22" ht="15.6" spans="3:1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6" spans="3:1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6" spans="3:1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mergeCells count="12">
    <mergeCell ref="C4:O4"/>
    <mergeCell ref="C7:H7"/>
    <mergeCell ref="C8:H8"/>
    <mergeCell ref="K8:L8"/>
    <mergeCell ref="C9:H9"/>
    <mergeCell ref="K9:L9"/>
    <mergeCell ref="C12:H12"/>
    <mergeCell ref="C17:G17"/>
    <mergeCell ref="C18:D18"/>
    <mergeCell ref="C10:H11"/>
    <mergeCell ref="C13:H14"/>
    <mergeCell ref="C19:D2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Admin</cp:lastModifiedBy>
  <dcterms:created xsi:type="dcterms:W3CDTF">2025-04-15T13:10:00Z</dcterms:created>
  <dcterms:modified xsi:type="dcterms:W3CDTF">2025-06-01T20:30:51Z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591A7D154BCC4A39AF51D4AF37FCD155_12</vt:lpwstr>
  </property>
  <property fmtid="{D5CDD505-2E9C-101B-9397-08002B2CF9AE}" pid="3" name="KSOProductBuildVer">
    <vt:lpwstr>1049-12.2.0.21179</vt:lpwstr>
  </property>
</Properties>
</file>