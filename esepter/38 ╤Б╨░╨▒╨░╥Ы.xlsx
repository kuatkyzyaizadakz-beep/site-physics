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Лист1" sheetId="1" r:id="rId1"/>
    <sheet name="Есеп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<sst xmlns="http://schemas.openxmlformats.org/spreadsheetml/2006/main" count="29" uniqueCount="21">
  <si>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Сыйымдылығы 2 мкФ болған кезде 1000 Гц жиілік алу үшін тербермелі контурға қандай индуктифтілік қосу керек?</t>
  </si>
  <si>
    <t>Есептеуіш формула</t>
  </si>
  <si>
    <t>Нәтиже кестесі</t>
  </si>
  <si>
    <t>С, Ф</t>
  </si>
  <si>
    <t>L, Гц</t>
  </si>
  <si>
    <t>Деректер кестесі</t>
  </si>
  <si>
    <t>Сыйымдылық</t>
  </si>
  <si>
    <t>С</t>
  </si>
  <si>
    <t>Ф</t>
  </si>
  <si>
    <t>Жиілік</t>
  </si>
  <si>
    <t>Гц</t>
  </si>
  <si>
    <t>Индкутифтілік</t>
  </si>
  <si>
    <t>L</t>
  </si>
  <si>
    <t>?</t>
  </si>
  <si>
    <t>Гн</t>
  </si>
  <si>
    <t>Тербермелі контурда конденсатор электр өрісінің максимал энергиясы 6 мкДж. Катушуадағы магнит өрісінің энергиясы конденсатордағы энергияның жартысына тең болатын сәттегі электр өрісінің энергиясын тап.</t>
  </si>
  <si>
    <t>Электр өрісінің макс энергиясы</t>
  </si>
  <si>
    <t>10^-6</t>
  </si>
  <si>
    <t>Дж</t>
  </si>
  <si>
    <t>Толық энергия</t>
  </si>
  <si>
    <t>Электр өрісінің  энергиясы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</si>
</sst>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576262</xdr:colOff>
      <xdr:row>7</xdr:row>
      <xdr:rowOff>4762</xdr:rowOff>
    </xdr:from>
    <xdr:ext cx="719299" cy="342028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10385" y="1360805"/>
              <a:ext cx="719455" cy="342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𝐿𝐶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10385" y="1360805"/>
              <a:ext cx="719455" cy="3422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√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𝐿𝐶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547687</xdr:colOff>
      <xdr:row>9</xdr:row>
      <xdr:rowOff>4762</xdr:rowOff>
    </xdr:from>
    <xdr:ext cx="769250" cy="310416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781810" y="1757045"/>
              <a:ext cx="768985" cy="310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781810" y="1757045"/>
              <a:ext cx="768985" cy="3105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𝐿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4</a:t>
              </a:r>
              <a:r>
                <a:rPr lang="en-US" sz="1100" b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23812</xdr:colOff>
      <xdr:row>14</xdr:row>
      <xdr:rowOff>185737</xdr:rowOff>
    </xdr:from>
    <xdr:ext cx="112723" cy="167464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492375" y="2928620"/>
              <a:ext cx="113030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492375" y="2928620"/>
              <a:ext cx="113030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33337</xdr:colOff>
      <xdr:row>7</xdr:row>
      <xdr:rowOff>4762</xdr:rowOff>
    </xdr:from>
    <xdr:ext cx="32361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6418580" y="1360805"/>
              <a:ext cx="3238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, Гн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6418580" y="1360805"/>
              <a:ext cx="32385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𝑣</a:t>
              </a:r>
              <a:r>
                <a:rPr lang="en-US" sz="1100" b="0">
                  <a:latin typeface="Cambria Math" panose="02040503050406030204" pitchFamily="18" charset="0"/>
                </a:rPr>
                <a:t>, Гн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42862</xdr:colOff>
      <xdr:row>9</xdr:row>
      <xdr:rowOff>33337</xdr:rowOff>
    </xdr:from>
    <xdr:ext cx="575414" cy="308172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991995" y="1778000"/>
              <a:ext cx="575310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эм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991995" y="1778000"/>
              <a:ext cx="575310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м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𝐸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эм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585787</xdr:colOff>
      <xdr:row>11</xdr:row>
      <xdr:rowOff>4762</xdr:rowOff>
    </xdr:from>
    <xdr:ext cx="840295" cy="172227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819910" y="2145665"/>
              <a:ext cx="8401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э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т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м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819910" y="2145665"/>
              <a:ext cx="84010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э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33337</xdr:colOff>
      <xdr:row>15</xdr:row>
      <xdr:rowOff>4762</xdr:rowOff>
    </xdr:from>
    <xdr:ext cx="236540" cy="172227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3285490" y="2938145"/>
              <a:ext cx="2368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эм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3285490" y="2938145"/>
              <a:ext cx="2368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эм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52387</xdr:colOff>
      <xdr:row>15</xdr:row>
      <xdr:rowOff>176212</xdr:rowOff>
    </xdr:from>
    <xdr:ext cx="171457" cy="16460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3304540" y="3109595"/>
              <a:ext cx="17145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т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3304540" y="3109595"/>
              <a:ext cx="171450" cy="1644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80962</xdr:colOff>
      <xdr:row>16</xdr:row>
      <xdr:rowOff>185737</xdr:rowOff>
    </xdr:from>
    <xdr:ext cx="167225" cy="167464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3333115" y="3317240"/>
              <a:ext cx="167005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э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3333115" y="3317240"/>
              <a:ext cx="167005" cy="1676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э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9</xdr:col>
      <xdr:colOff>34926</xdr:colOff>
      <xdr:row>9</xdr:row>
      <xdr:rowOff>3176</xdr:rowOff>
    </xdr:from>
    <xdr:ext cx="962636" cy="172227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5756275" y="1748155"/>
              <a:ext cx="9620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эм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10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^−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6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Дж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5756275" y="1748155"/>
              <a:ext cx="9620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эм</a:t>
              </a:r>
              <a:r>
                <a:rPr lang="en-US" sz="1100" b="0">
                  <a:latin typeface="Cambria Math" panose="02040503050406030204" pitchFamily="18" charset="0"/>
                </a:rPr>
                <a:t>, </a:t>
              </a:r>
              <a:r>
                <a:rPr lang="ru-RU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^−</a:t>
              </a:r>
              <a:r>
                <a:rPr lang="en-US" sz="1100" b="0">
                  <a:latin typeface="Cambria Math" panose="02040503050406030204" pitchFamily="18" charset="0"/>
                </a:rPr>
                <a:t>6</a:t>
              </a:r>
              <a:r>
                <a:rPr lang="en-US" sz="1100" b="0">
                  <a:latin typeface="Cambria Math" panose="02040503050406030204" pitchFamily="18" charset="0"/>
                </a:rPr>
                <a:t>Дж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34925</xdr:colOff>
      <xdr:row>9</xdr:row>
      <xdr:rowOff>3175</xdr:rowOff>
    </xdr:from>
    <xdr:ext cx="897553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6833870" y="1748155"/>
              <a:ext cx="8972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т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10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^−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Дж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6833870" y="1748155"/>
              <a:ext cx="89725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т</a:t>
              </a:r>
              <a:r>
                <a:rPr lang="en-US" sz="1100" b="0">
                  <a:latin typeface="Cambria Math" panose="02040503050406030204" pitchFamily="18" charset="0"/>
                </a:rPr>
                <a:t>, </a:t>
              </a:r>
              <a:r>
                <a:rPr lang="ru-RU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>
                  <a:latin typeface="Cambria Math" panose="02040503050406030204" pitchFamily="18" charset="0"/>
                </a:rPr>
                <a:t>Дж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11</xdr:col>
      <xdr:colOff>60721</xdr:colOff>
      <xdr:row>9</xdr:row>
      <xdr:rowOff>13097</xdr:rowOff>
    </xdr:from>
    <xdr:ext cx="89191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7819390" y="1757680"/>
              <a:ext cx="8921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Е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м</m:t>
                      </m:r>
                    </m:sub>
                  </m:sSub>
                </m:oMath>
              </a14:m>
              <a:r>
                <a:rPr lang="ru-RU" sz="1100"/>
                <a:t>, </a:t>
              </a:r>
              <a14:m>
                <m:oMath xmlns:m="http://schemas.openxmlformats.org/officeDocument/2006/math">
                  <m:r>
                    <a:rPr lang="ru-RU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10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^−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6</m:t>
                  </m:r>
                </m:oMath>
              </a14:m>
              <a:r>
                <a:rPr lang="ru-RU" sz="1100"/>
                <a:t>Дж</a:t>
              </a:r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7819390" y="1757680"/>
              <a:ext cx="89217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м</a:t>
              </a:r>
              <a:r>
                <a:rPr lang="ru-RU" sz="1100"/>
                <a:t>, </a:t>
              </a:r>
              <a:r>
                <a:rPr lang="ru-RU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ru-RU" sz="1100"/>
                <a:t>Дж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36909</xdr:colOff>
      <xdr:row>9</xdr:row>
      <xdr:rowOff>1191</xdr:rowOff>
    </xdr:from>
    <xdr:ext cx="89332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8814435" y="1745615"/>
              <a:ext cx="89281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Е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э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10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^−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Дж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8814435" y="1745615"/>
              <a:ext cx="892810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Е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э</a:t>
              </a:r>
              <a:r>
                <a:rPr lang="en-US" sz="1100" b="0">
                  <a:latin typeface="Cambria Math" panose="02040503050406030204" pitchFamily="18" charset="0"/>
                </a:rPr>
                <a:t>, </a:t>
              </a:r>
              <a:r>
                <a:rPr lang="ru-RU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^−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>
                  <a:latin typeface="Cambria Math" panose="02040503050406030204" pitchFamily="18" charset="0"/>
                </a:rPr>
                <a:t>Дж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7"/>
  <sheetViews>
    <sheetView workbookViewId="0">
      <selection activeCell="E24" sqref="E24"/>
    </sheetView>
  </sheetViews>
  <sheetFormatPr defaultColWidth="9" defaultRowHeight="14.4"/>
  <cols>
    <col min="6" max="6" width="10.5555555555556"/>
    <col min="10" max="10" width="10.5555555555556"/>
    <col min="12" max="12" width="14.3333333333333"/>
  </cols>
  <sheetData>
    <row r="3" ht="15.6" spans="3:12">
      <c r="C3" s="13" t="s">
        <v>0</v>
      </c>
      <c r="D3" s="14"/>
      <c r="E3" s="14"/>
      <c r="F3" s="14"/>
      <c r="G3" s="14"/>
      <c r="H3" s="14"/>
      <c r="I3" s="3"/>
      <c r="J3" s="3"/>
      <c r="K3" s="3"/>
      <c r="L3" s="3"/>
    </row>
    <row r="4" ht="15.6" spans="3:12">
      <c r="C4" s="14"/>
      <c r="D4" s="14"/>
      <c r="E4" s="14"/>
      <c r="F4" s="14"/>
      <c r="G4" s="14"/>
      <c r="H4" s="14"/>
      <c r="I4" s="3"/>
      <c r="J4" s="3"/>
      <c r="K4" s="3"/>
      <c r="L4" s="3"/>
    </row>
    <row r="5" ht="15.6" spans="3:12">
      <c r="C5" s="3"/>
      <c r="D5" s="3"/>
      <c r="E5" s="3"/>
      <c r="F5" s="3"/>
      <c r="G5" s="3"/>
      <c r="H5" s="3"/>
      <c r="I5" s="3"/>
      <c r="J5" s="3"/>
      <c r="K5" s="3"/>
      <c r="L5" s="3"/>
    </row>
    <row r="6" ht="15.6" spans="3:12">
      <c r="C6" s="3"/>
      <c r="D6" s="3"/>
      <c r="E6" s="3"/>
      <c r="F6" s="3"/>
      <c r="G6" s="3"/>
      <c r="H6" s="3"/>
      <c r="I6" s="3"/>
      <c r="J6" s="3"/>
      <c r="K6" s="3"/>
      <c r="L6" s="3"/>
    </row>
    <row r="7" ht="15.6" spans="3:12">
      <c r="C7" s="4" t="s">
        <v>1</v>
      </c>
      <c r="D7" s="5"/>
      <c r="E7" s="5"/>
      <c r="F7" s="3"/>
      <c r="G7" s="3"/>
      <c r="H7" s="3"/>
      <c r="I7" s="3"/>
      <c r="J7" s="12" t="s">
        <v>2</v>
      </c>
      <c r="K7" s="7"/>
      <c r="L7" s="8"/>
    </row>
    <row r="8" ht="15.6" spans="3:12">
      <c r="C8" s="5"/>
      <c r="D8" s="5"/>
      <c r="E8" s="5"/>
      <c r="F8" s="3"/>
      <c r="G8" s="3"/>
      <c r="H8" s="3"/>
      <c r="I8" s="3"/>
      <c r="J8" s="10" t="s">
        <v>3</v>
      </c>
      <c r="K8" s="9"/>
      <c r="L8" s="10" t="s">
        <v>4</v>
      </c>
    </row>
    <row r="9" ht="15.6" spans="3:12">
      <c r="C9" s="5"/>
      <c r="D9" s="5"/>
      <c r="E9" s="5"/>
      <c r="F9" s="3"/>
      <c r="G9" s="3"/>
      <c r="H9" s="3"/>
      <c r="I9" s="3"/>
      <c r="J9" s="9">
        <v>2e-6</v>
      </c>
      <c r="K9" s="9">
        <v>1000</v>
      </c>
      <c r="L9" s="9">
        <f>1/(4*3.14*3.14*1000*1000*0.000002)</f>
        <v>0.0126779991074689</v>
      </c>
    </row>
    <row r="10" ht="15.6" spans="3:12">
      <c r="C10" s="5"/>
      <c r="D10" s="5"/>
      <c r="E10" s="5"/>
      <c r="F10" s="3"/>
      <c r="G10" s="3"/>
      <c r="H10" s="3"/>
      <c r="I10" s="3"/>
      <c r="J10" s="3"/>
      <c r="K10" s="3"/>
      <c r="L10" s="3"/>
    </row>
    <row r="11" ht="15.6" spans="3:12">
      <c r="C11" s="5"/>
      <c r="D11" s="5"/>
      <c r="E11" s="5"/>
      <c r="F11" s="3"/>
      <c r="G11" s="3"/>
      <c r="H11" s="3"/>
      <c r="I11" s="3"/>
      <c r="J11" s="3"/>
      <c r="K11" s="3"/>
      <c r="L11" s="3"/>
    </row>
    <row r="12" ht="15.6" spans="3:12"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5.6" spans="3:12"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5.6" spans="3:12">
      <c r="C14" s="4" t="s">
        <v>5</v>
      </c>
      <c r="D14" s="5"/>
      <c r="E14" s="5"/>
      <c r="F14" s="5"/>
      <c r="G14" s="5"/>
      <c r="H14" s="3"/>
      <c r="I14" s="3"/>
      <c r="J14" s="3"/>
      <c r="K14" s="3"/>
      <c r="L14" s="3"/>
    </row>
    <row r="15" ht="15.6" spans="3:12">
      <c r="C15" s="4" t="s">
        <v>6</v>
      </c>
      <c r="D15" s="5"/>
      <c r="E15" s="10" t="s">
        <v>7</v>
      </c>
      <c r="F15" s="9">
        <v>2e-6</v>
      </c>
      <c r="G15" s="10" t="s">
        <v>8</v>
      </c>
      <c r="H15" s="3"/>
      <c r="I15" s="3"/>
      <c r="J15" s="3"/>
      <c r="K15" s="3"/>
      <c r="L15" s="3"/>
    </row>
    <row r="16" ht="15.6" spans="3:12">
      <c r="C16" s="4" t="s">
        <v>9</v>
      </c>
      <c r="D16" s="5"/>
      <c r="E16" s="9"/>
      <c r="F16" s="9">
        <v>1000</v>
      </c>
      <c r="G16" s="10" t="s">
        <v>10</v>
      </c>
      <c r="H16" s="3"/>
      <c r="I16" s="3"/>
      <c r="J16" s="3"/>
      <c r="K16" s="3"/>
      <c r="L16" s="3"/>
    </row>
    <row r="17" ht="15.6" spans="3:12">
      <c r="C17" s="4" t="s">
        <v>11</v>
      </c>
      <c r="D17" s="5"/>
      <c r="E17" s="10" t="s">
        <v>12</v>
      </c>
      <c r="F17" s="10" t="s">
        <v>13</v>
      </c>
      <c r="G17" s="10" t="s">
        <v>14</v>
      </c>
      <c r="H17" s="3"/>
      <c r="I17" s="3"/>
      <c r="J17" s="3"/>
      <c r="K17" s="3"/>
      <c r="L17" s="3"/>
    </row>
  </sheetData>
  <mergeCells count="9">
    <mergeCell ref="C7:E7"/>
    <mergeCell ref="J7:L7"/>
    <mergeCell ref="C14:G14"/>
    <mergeCell ref="C15:D15"/>
    <mergeCell ref="C16:D16"/>
    <mergeCell ref="C17:D17"/>
    <mergeCell ref="C3:H4"/>
    <mergeCell ref="C8:E9"/>
    <mergeCell ref="C10:E1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M20"/>
  <sheetViews>
    <sheetView tabSelected="1" zoomScale="90" zoomScaleNormal="90" workbookViewId="0">
      <selection activeCell="F22" sqref="F22"/>
    </sheetView>
  </sheetViews>
  <sheetFormatPr defaultColWidth="9" defaultRowHeight="14.4"/>
  <cols>
    <col min="3" max="3" width="10.4259259259259" customWidth="1"/>
    <col min="4" max="4" width="10" customWidth="1"/>
    <col min="10" max="10" width="15.712962962963" customWidth="1"/>
    <col min="11" max="11" width="14" customWidth="1"/>
    <col min="12" max="12" width="14.8518518518519" customWidth="1"/>
    <col min="13" max="13" width="14.1388888888889" customWidth="1"/>
  </cols>
  <sheetData>
    <row r="3" ht="15" customHeight="1" spans="3:13">
      <c r="C3" s="1" t="s">
        <v>15</v>
      </c>
      <c r="D3" s="2"/>
      <c r="E3" s="2"/>
      <c r="F3" s="2"/>
      <c r="G3" s="2"/>
      <c r="H3" s="2"/>
      <c r="I3" s="11"/>
      <c r="J3" s="3"/>
      <c r="K3" s="3"/>
      <c r="L3" s="3"/>
      <c r="M3" s="3"/>
    </row>
    <row r="4" ht="15.6" spans="3:13">
      <c r="C4" s="2"/>
      <c r="D4" s="2"/>
      <c r="E4" s="2"/>
      <c r="F4" s="2"/>
      <c r="G4" s="2"/>
      <c r="H4" s="2"/>
      <c r="I4" s="11"/>
      <c r="J4" s="3"/>
      <c r="K4" s="3"/>
      <c r="L4" s="3"/>
      <c r="M4" s="3"/>
    </row>
    <row r="5" ht="15.6" spans="3:13">
      <c r="C5" s="2"/>
      <c r="D5" s="2"/>
      <c r="E5" s="2"/>
      <c r="F5" s="2"/>
      <c r="G5" s="2"/>
      <c r="H5" s="2"/>
      <c r="I5" s="11"/>
      <c r="J5" s="3"/>
      <c r="K5" s="3"/>
      <c r="L5" s="3"/>
      <c r="M5" s="3"/>
    </row>
    <row r="6" ht="15.6" spans="3:13">
      <c r="C6" s="2"/>
      <c r="D6" s="2"/>
      <c r="E6" s="2"/>
      <c r="F6" s="2"/>
      <c r="G6" s="2"/>
      <c r="H6" s="2"/>
      <c r="I6" s="3"/>
      <c r="J6" s="3"/>
      <c r="K6" s="3"/>
      <c r="L6" s="3"/>
      <c r="M6" s="3"/>
    </row>
    <row r="7" ht="15.6" spans="3:13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5.6" spans="3:13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15.6" spans="3:13">
      <c r="C9" s="4" t="s">
        <v>1</v>
      </c>
      <c r="D9" s="5"/>
      <c r="E9" s="5"/>
      <c r="F9" s="3"/>
      <c r="G9" s="3"/>
      <c r="H9" s="3"/>
      <c r="I9" s="3"/>
      <c r="J9" s="12" t="s">
        <v>2</v>
      </c>
      <c r="K9" s="7"/>
      <c r="L9" s="7"/>
      <c r="M9" s="8"/>
    </row>
    <row r="10" ht="15.6" spans="3:13">
      <c r="C10" s="5"/>
      <c r="D10" s="5"/>
      <c r="E10" s="5"/>
      <c r="F10" s="3"/>
      <c r="G10" s="3"/>
      <c r="H10" s="3"/>
      <c r="I10" s="3"/>
      <c r="J10" s="9"/>
      <c r="K10" s="9"/>
      <c r="L10" s="9"/>
      <c r="M10" s="9"/>
    </row>
    <row r="11" ht="15.6" spans="3:13">
      <c r="C11" s="5"/>
      <c r="D11" s="5"/>
      <c r="E11" s="5"/>
      <c r="F11" s="3"/>
      <c r="G11" s="3"/>
      <c r="H11" s="3"/>
      <c r="I11" s="3"/>
      <c r="J11" s="9">
        <v>6</v>
      </c>
      <c r="K11" s="9">
        <v>6</v>
      </c>
      <c r="L11" s="9">
        <f>J11/2</f>
        <v>3</v>
      </c>
      <c r="M11" s="9">
        <f>K11-L11</f>
        <v>3</v>
      </c>
    </row>
    <row r="12" ht="15.6" spans="3:13">
      <c r="C12" s="6"/>
      <c r="D12" s="7"/>
      <c r="E12" s="8"/>
      <c r="F12" s="3"/>
      <c r="G12" s="3"/>
      <c r="H12" s="3"/>
      <c r="I12" s="3"/>
      <c r="J12" s="3"/>
      <c r="K12" s="3"/>
      <c r="L12" s="3"/>
      <c r="M12" s="3"/>
    </row>
    <row r="13" ht="15.6" spans="3:13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6" spans="3:1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6" spans="3:13">
      <c r="C15" s="4" t="s">
        <v>5</v>
      </c>
      <c r="D15" s="5"/>
      <c r="E15" s="5"/>
      <c r="F15" s="5"/>
      <c r="G15" s="5"/>
      <c r="H15" s="5"/>
      <c r="I15" s="5"/>
      <c r="J15" s="3"/>
      <c r="K15" s="3"/>
      <c r="L15" s="3"/>
      <c r="M15" s="3"/>
    </row>
    <row r="16" ht="15.6" spans="3:13">
      <c r="C16" s="4" t="s">
        <v>16</v>
      </c>
      <c r="D16" s="5"/>
      <c r="E16" s="5"/>
      <c r="F16" s="9"/>
      <c r="G16" s="9">
        <v>6</v>
      </c>
      <c r="H16" s="10" t="s">
        <v>17</v>
      </c>
      <c r="I16" s="10" t="s">
        <v>18</v>
      </c>
      <c r="J16" s="3"/>
      <c r="K16" s="3"/>
      <c r="L16" s="3"/>
      <c r="M16" s="3"/>
    </row>
    <row r="17" ht="15.6" spans="3:13">
      <c r="C17" s="4" t="s">
        <v>19</v>
      </c>
      <c r="D17" s="5"/>
      <c r="E17" s="5"/>
      <c r="F17" s="9"/>
      <c r="G17" s="9">
        <v>6</v>
      </c>
      <c r="H17" s="10" t="s">
        <v>17</v>
      </c>
      <c r="I17" s="10" t="s">
        <v>18</v>
      </c>
      <c r="J17" s="3"/>
      <c r="K17" s="3"/>
      <c r="L17" s="3"/>
      <c r="M17" s="3"/>
    </row>
    <row r="18" ht="15.6" spans="3:13">
      <c r="C18" s="4" t="s">
        <v>20</v>
      </c>
      <c r="D18" s="5"/>
      <c r="E18" s="5"/>
      <c r="F18" s="9"/>
      <c r="G18" s="10" t="s">
        <v>13</v>
      </c>
      <c r="H18" s="10" t="s">
        <v>17</v>
      </c>
      <c r="I18" s="10" t="s">
        <v>18</v>
      </c>
      <c r="J18" s="3"/>
      <c r="K18" s="3"/>
      <c r="L18" s="3"/>
      <c r="M18" s="3"/>
    </row>
    <row r="19" ht="15.6" spans="3:1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5.6" spans="3:1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</sheetData>
  <mergeCells count="9">
    <mergeCell ref="C9:E9"/>
    <mergeCell ref="J9:M9"/>
    <mergeCell ref="C12:E12"/>
    <mergeCell ref="C15:I15"/>
    <mergeCell ref="C16:E16"/>
    <mergeCell ref="C17:E17"/>
    <mergeCell ref="C18:E18"/>
    <mergeCell ref="C3:H6"/>
    <mergeCell ref="C10:E1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Есеп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Taiman</dc:creator>
  <cp:lastModifiedBy>Admin</cp:lastModifiedBy>
  <dcterms:created xsi:type="dcterms:W3CDTF">2025-04-15T12:08:00Z</dcterms:created>
  <dcterms:modified xsi:type="dcterms:W3CDTF">2025-06-02T20:01:13Z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7A6D990E5B134867B2168DD114F39D80_12</vt:lpwstr>
  </property>
  <property fmtid="{D5CDD505-2E9C-101B-9397-08002B2CF9AE}" pid="3" name="KSOProductBuildVer">
    <vt:lpwstr>1049-12.2.0.21179</vt:lpwstr>
  </property>
</Properties>
</file>