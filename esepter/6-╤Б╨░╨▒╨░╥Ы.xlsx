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1" sheetId="1" r:id="rId1"/>
    <sheet name="2" sheetId="2" r:id="rId2"/>
    <sheet name="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<sst xmlns="http://schemas.openxmlformats.org/spreadsheetml/2006/main" count="60" uniqueCount="38">
  <si>
    <t>Радиусы 0,4 м болатын диск бірқалыпты үдемелі түрде айнала бастады. Алғашқы 5 секундта дисктің бұрыштық жылдамдығы 2 рад/с-тен 12 рад/с-ке дейін артты.  Бұрыштық үдеуді  табыңыз. Осы уақыттағы орташа сызықтық жылдамдықты  есептеңіз.</t>
  </si>
  <si>
    <t>R</t>
  </si>
  <si>
    <t>ω0</t>
  </si>
  <si>
    <t>ω</t>
  </si>
  <si>
    <t>t</t>
  </si>
  <si>
    <t>a</t>
  </si>
  <si>
    <t>v</t>
  </si>
  <si>
    <t>Есептеуіш формулалар</t>
  </si>
  <si>
    <t>Деректер кестесі</t>
  </si>
  <si>
    <t xml:space="preserve">R=0,4м                                             </t>
  </si>
  <si>
    <t>м</t>
  </si>
  <si>
    <t>рад/с</t>
  </si>
  <si>
    <t xml:space="preserve"> t</t>
  </si>
  <si>
    <t>с</t>
  </si>
  <si>
    <t>Табу кере</t>
  </si>
  <si>
    <t>α=?
  V орт</t>
  </si>
  <si>
    <t xml:space="preserve">2.Радиусы 2 м болатын айналып тұрған дискінің бір нүктесі 5 секунд ішінде сызықтық жылдамдығын 4 м/с-тен 10 м/с-ке дейін өзгертті. Тангенциал үдеуді   есептеңіз. Қозғалыстың 5-ші секундындағы толық үдеуді анықтаңыз, </t>
  </si>
  <si>
    <t xml:space="preserve">R=2                     </t>
  </si>
  <si>
    <t>м/с</t>
  </si>
  <si>
    <t>V0</t>
  </si>
  <si>
    <t>V</t>
  </si>
  <si>
    <r>
      <rPr>
        <sz val="11"/>
        <color theme="1"/>
        <rFont val="Cambria Math"/>
        <charset val="204"/>
      </rPr>
      <t>a</t>
    </r>
    <r>
      <rPr>
        <sz val="11"/>
        <color rgb="FF836967"/>
        <rFont val="Cambria Math"/>
        <charset val="204"/>
      </rPr>
      <t>_</t>
    </r>
    <r>
      <rPr>
        <sz val="11"/>
        <color theme="1"/>
        <rFont val="Cambria Math"/>
        <charset val="204"/>
      </rPr>
      <t>t</t>
    </r>
  </si>
  <si>
    <r>
      <rPr>
        <sz val="11"/>
        <color theme="1"/>
        <rFont val="Cambria Math"/>
        <charset val="204"/>
      </rPr>
      <t>a</t>
    </r>
    <r>
      <rPr>
        <sz val="11"/>
        <color rgb="FF836967"/>
        <rFont val="Cambria Math"/>
        <charset val="204"/>
      </rPr>
      <t>_</t>
    </r>
    <r>
      <rPr>
        <sz val="11"/>
        <color theme="1"/>
        <rFont val="Cambria Math"/>
        <charset val="204"/>
      </rPr>
      <t>n</t>
    </r>
  </si>
  <si>
    <t xml:space="preserve"> v</t>
  </si>
  <si>
    <t>aτ=?</t>
  </si>
  <si>
    <t>м/с^2</t>
  </si>
  <si>
    <t xml:space="preserve"> аn=?</t>
  </si>
  <si>
    <t xml:space="preserve">м/с^2 </t>
  </si>
  <si>
    <t>Жылдамдығы 20 м/с болатын дене радиусы 5 м шеңбер бойымен қозғалады. Айналу периоды (T) мен айналу жиілігін табыңыз. Центрге тартқыш үдеуді   есептеңіз.</t>
  </si>
  <si>
    <t xml:space="preserve">V
</t>
  </si>
  <si>
    <t>T</t>
  </si>
  <si>
    <t>𝜈</t>
  </si>
  <si>
    <t xml:space="preserve">R   </t>
  </si>
  <si>
    <t>Табу к</t>
  </si>
  <si>
    <t xml:space="preserve">Т=? </t>
  </si>
  <si>
    <t xml:space="preserve">аn=? </t>
  </si>
  <si>
    <t xml:space="preserve"> Есептеуіш формулалары</t>
  </si>
  <si>
    <t xml:space="preserve">   
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</si>
</sst>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8">
    <font>
      <sz val="11"/>
      <color theme="1"/>
      <name val="Aptos Narrow"/>
      <charset val="204"/>
      <scheme val="minor"/>
    </font>
    <font>
      <sz val="11"/>
      <color theme="1"/>
      <name val="Times New Roman"/>
      <charset val="204"/>
    </font>
    <font>
      <b/>
      <sz val="11"/>
      <color theme="1"/>
      <name val="Times New Roman"/>
      <charset val="134"/>
    </font>
    <font>
      <i/>
      <sz val="11"/>
      <color theme="1"/>
      <name val="Aptos Narrow"/>
      <charset val="134"/>
      <scheme val="minor"/>
    </font>
    <font>
      <sz val="11"/>
      <color theme="1"/>
      <name val="Cambria Math"/>
      <charset val="204"/>
    </font>
    <font>
      <i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rgb="FF836967"/>
      <name val="Cambria Math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6" applyNumberFormat="0" applyAlignment="0" applyProtection="0">
      <alignment vertical="center"/>
    </xf>
    <xf numFmtId="0" fontId="17" fillId="4" borderId="17" applyNumberFormat="0" applyAlignment="0" applyProtection="0">
      <alignment vertical="center"/>
    </xf>
    <xf numFmtId="0" fontId="18" fillId="4" borderId="16" applyNumberFormat="0" applyAlignment="0" applyProtection="0">
      <alignment vertical="center"/>
    </xf>
    <xf numFmtId="0" fontId="19" fillId="5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2" xfId="0" applyFont="1" applyBorder="1" applyAlignment="1">
      <alignment wrapText="1"/>
    </xf>
    <xf numFmtId="0" fontId="1" fillId="0" borderId="12" xfId="0" applyFont="1" applyBorder="1"/>
    <xf numFmtId="0" fontId="1" fillId="0" borderId="12" xfId="0" applyFont="1" applyBorder="1"/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2" xfId="0" applyFont="1" applyBorder="1" applyAlignment="1">
      <alignment wrapText="1"/>
    </xf>
    <xf numFmtId="0" fontId="0" fillId="0" borderId="12" xfId="0" applyBorder="1"/>
    <xf numFmtId="0" fontId="3" fillId="0" borderId="12" xfId="0" applyFont="1" applyBorder="1"/>
    <xf numFmtId="0" fontId="0" fillId="0" borderId="12" xfId="0" applyBorder="1" applyAlignment="1">
      <alignment horizontal="center"/>
    </xf>
    <xf numFmtId="0" fontId="4" fillId="0" borderId="12" xfId="0" applyFont="1" applyBorder="1"/>
    <xf numFmtId="0" fontId="1" fillId="0" borderId="0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12" xfId="0" applyFont="1" applyBorder="1" applyAlignment="1">
      <alignment wrapText="1"/>
    </xf>
    <xf numFmtId="0" fontId="5" fillId="0" borderId="12" xfId="0" applyFont="1" applyBorder="1"/>
    <xf numFmtId="0" fontId="6" fillId="0" borderId="12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22860</xdr:colOff>
      <xdr:row>11</xdr:row>
      <xdr:rowOff>57150</xdr:rowOff>
    </xdr:from>
    <xdr:ext cx="748538" cy="277789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369060" y="2018030"/>
              <a:ext cx="748030" cy="2774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𝜔</m:t>
                        </m:r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𝜔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𝑄</m:t>
                            </m:r>
                          </m:sub>
                        </m:sSub>
                      </m:num>
                      <m:den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𝑡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369060" y="2018030"/>
              <a:ext cx="748030" cy="2774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</a:rPr>
                <a:t>𝑎</a:t>
              </a:r>
              <a:r>
                <a:rPr lang="ru-RU" sz="1100">
                  <a:latin typeface="Cambria Math" panose="02040503050406030204" pitchFamily="18" charset="0"/>
                </a:rPr>
                <a:t>=</a:t>
              </a:r>
              <a:r>
                <a:rPr lang="ru-RU" sz="1100">
                  <a:latin typeface="Cambria Math" panose="02040503050406030204" pitchFamily="18" charset="0"/>
                </a:rPr>
                <a:t>𝜔</a:t>
              </a:r>
              <a:r>
                <a:rPr lang="ru-RU" sz="1100">
                  <a:latin typeface="Cambria Math" panose="02040503050406030204" pitchFamily="18" charset="0"/>
                </a:rPr>
                <a:t>−</a:t>
              </a:r>
              <a:r>
                <a:rPr lang="ru-RU" sz="1100">
                  <a:latin typeface="Cambria Math" panose="02040503050406030204" pitchFamily="18" charset="0"/>
                </a:rPr>
                <a:t>𝜔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>
                  <a:latin typeface="Cambria Math" panose="02040503050406030204" pitchFamily="18" charset="0"/>
                </a:rPr>
                <a:t>𝑄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ru-RU" sz="1100">
                  <a:latin typeface="Cambria Math" panose="02040503050406030204" pitchFamily="18" charset="0"/>
                </a:rPr>
                <a:t>𝑡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591820</xdr:colOff>
      <xdr:row>13</xdr:row>
      <xdr:rowOff>74930</xdr:rowOff>
    </xdr:from>
    <xdr:ext cx="986232" cy="292216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264920" y="2386330"/>
              <a:ext cx="986155" cy="2921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𝛤</m:t>
                            </m:r>
                          </m:sub>
                        </m:sSub>
                      </m:sub>
                    </m:sSub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𝜔</m:t>
                        </m:r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𝜔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num>
                      <m:den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𝑡</m:t>
                        </m:r>
                      </m:den>
                    </m:f>
                    <m:r>
                      <a:rPr lang="ru-RU" sz="1100" i="0">
                        <a:latin typeface="Cambria Math" panose="02040503050406030204" pitchFamily="18" charset="0"/>
                      </a:rPr>
                      <m:t>ℝ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264920" y="2386330"/>
              <a:ext cx="986155" cy="2921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</a:rPr>
                <a:t>𝑣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>
                  <a:latin typeface="Cambria Math" panose="02040503050406030204" pitchFamily="18" charset="0"/>
                </a:rPr>
                <a:t>𝑝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>
                  <a:latin typeface="Cambria Math" panose="02040503050406030204" pitchFamily="18" charset="0"/>
                </a:rPr>
                <a:t>𝛤</a:t>
              </a:r>
              <a:r>
                <a:rPr lang="ru-RU" sz="1100">
                  <a:latin typeface="Cambria Math" panose="02040503050406030204" pitchFamily="18" charset="0"/>
                </a:rPr>
                <a:t>=</a:t>
              </a:r>
              <a:r>
                <a:rPr lang="ru-RU" sz="1100">
                  <a:latin typeface="Cambria Math" panose="02040503050406030204" pitchFamily="18" charset="0"/>
                </a:rPr>
                <a:t>𝜔</a:t>
              </a:r>
              <a:r>
                <a:rPr lang="ru-RU" sz="1100">
                  <a:latin typeface="Cambria Math" panose="02040503050406030204" pitchFamily="18" charset="0"/>
                </a:rPr>
                <a:t>+</a:t>
              </a:r>
              <a:r>
                <a:rPr lang="ru-RU" sz="1100">
                  <a:latin typeface="Cambria Math" panose="02040503050406030204" pitchFamily="18" charset="0"/>
                </a:rPr>
                <a:t>𝜔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>
                  <a:latin typeface="Cambria Math" panose="02040503050406030204" pitchFamily="18" charset="0"/>
                </a:rPr>
                <a:t>𝑏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ru-RU" sz="1100">
                  <a:latin typeface="Cambria Math" panose="02040503050406030204" pitchFamily="18" charset="0"/>
                </a:rPr>
                <a:t>𝑡</a:t>
              </a:r>
              <a:r>
                <a:rPr lang="ru-RU" sz="1100">
                  <a:latin typeface="Cambria Math" panose="02040503050406030204" pitchFamily="18" charset="0"/>
                </a:rPr>
                <a:t>ℝ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449580</xdr:colOff>
      <xdr:row>18</xdr:row>
      <xdr:rowOff>41910</xdr:rowOff>
    </xdr:from>
    <xdr:ext cx="732445" cy="290208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2468880" y="3845560"/>
              <a:ext cx="732155" cy="2901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𝑣</m:t>
                        </m:r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num>
                      <m:den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𝑡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2468880" y="3845560"/>
              <a:ext cx="732155" cy="2901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</a:rPr>
                <a:t>𝑎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>
                  <a:latin typeface="Cambria Math" panose="02040503050406030204" pitchFamily="18" charset="0"/>
                </a:rPr>
                <a:t>𝑡</a:t>
              </a:r>
              <a:r>
                <a:rPr lang="ru-RU" sz="1100">
                  <a:latin typeface="Cambria Math" panose="02040503050406030204" pitchFamily="18" charset="0"/>
                </a:rPr>
                <a:t>=</a:t>
              </a:r>
              <a:r>
                <a:rPr lang="ru-RU" sz="1100">
                  <a:latin typeface="Cambria Math" panose="02040503050406030204" pitchFamily="18" charset="0"/>
                </a:rPr>
                <a:t>𝑣</a:t>
              </a:r>
              <a:r>
                <a:rPr lang="ru-RU" sz="1100">
                  <a:latin typeface="Cambria Math" panose="02040503050406030204" pitchFamily="18" charset="0"/>
                </a:rPr>
                <a:t>−</a:t>
              </a:r>
              <a:r>
                <a:rPr lang="ru-RU" sz="1100">
                  <a:latin typeface="Cambria Math" panose="02040503050406030204" pitchFamily="18" charset="0"/>
                </a:rPr>
                <a:t>𝑣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>
                  <a:latin typeface="Cambria Math" panose="02040503050406030204" pitchFamily="18" charset="0"/>
                </a:rPr>
                <a:t>0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ru-RU" sz="1100">
                  <a:latin typeface="Cambria Math" panose="02040503050406030204" pitchFamily="18" charset="0"/>
                </a:rPr>
                <a:t>𝑡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541020</xdr:colOff>
      <xdr:row>19</xdr:row>
      <xdr:rowOff>110490</xdr:rowOff>
    </xdr:from>
    <xdr:ext cx="627992" cy="217170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2560320" y="4234815"/>
              <a:ext cx="627380" cy="2171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𝜔</m:t>
                        </m:r>
                      </m:e>
                      <m:sup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ru-RU" sz="110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2560320" y="4234815"/>
              <a:ext cx="627380" cy="2171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ru-RU" sz="1100">
                  <a:latin typeface="Cambria Math" panose="02040503050406030204" pitchFamily="18" charset="0"/>
                </a:rPr>
                <a:t>𝑎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>
                  <a:latin typeface="Cambria Math" panose="02040503050406030204" pitchFamily="18" charset="0"/>
                </a:rPr>
                <a:t>𝑛</a:t>
              </a:r>
              <a:r>
                <a:rPr lang="ru-RU" sz="1100">
                  <a:latin typeface="Cambria Math" panose="02040503050406030204" pitchFamily="18" charset="0"/>
                </a:rPr>
                <a:t>=</a:t>
              </a:r>
              <a:r>
                <a:rPr lang="ru-RU" sz="1100">
                  <a:latin typeface="Cambria Math" panose="02040503050406030204" pitchFamily="18" charset="0"/>
                </a:rPr>
                <a:t>𝜔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ru-RU" sz="1100">
                  <a:latin typeface="Cambria Math" panose="02040503050406030204" pitchFamily="18" charset="0"/>
                </a:rPr>
                <a:t>2</a:t>
              </a:r>
              <a:r>
                <a:rPr lang="ru-RU" sz="1100">
                  <a:latin typeface="Cambria Math" panose="02040503050406030204" pitchFamily="18" charset="0"/>
                </a:rPr>
                <a:t>𝑅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441960</xdr:colOff>
      <xdr:row>19</xdr:row>
      <xdr:rowOff>392430</xdr:rowOff>
    </xdr:from>
    <xdr:ext cx="861133" cy="344453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461260" y="4516755"/>
              <a:ext cx="861060" cy="3441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bSup>
                          <m:sSubSup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  <m:sup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  <m:sup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461260" y="4516755"/>
              <a:ext cx="861060" cy="3441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</a:rPr>
                <a:t>𝑎</a:t>
              </a:r>
              <a:r>
                <a:rPr lang="ru-RU" sz="1100">
                  <a:latin typeface="Cambria Math" panose="02040503050406030204" pitchFamily="18" charset="0"/>
                </a:rPr>
                <a:t>=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√</a:t>
              </a:r>
              <a:r>
                <a:rPr lang="ru-RU" sz="1100">
                  <a:latin typeface="Cambria Math" panose="02040503050406030204" pitchFamily="18" charset="0"/>
                </a:rPr>
                <a:t>𝑎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>
                  <a:latin typeface="Cambria Math" panose="02040503050406030204" pitchFamily="18" charset="0"/>
                </a:rPr>
                <a:t>2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ru-RU" sz="1100">
                  <a:latin typeface="Cambria Math" panose="02040503050406030204" pitchFamily="18" charset="0"/>
                </a:rPr>
                <a:t>2</a:t>
              </a:r>
              <a:r>
                <a:rPr lang="ru-RU" sz="1100">
                  <a:latin typeface="Cambria Math" panose="02040503050406030204" pitchFamily="18" charset="0"/>
                </a:rPr>
                <a:t>+</a:t>
              </a:r>
              <a:r>
                <a:rPr lang="ru-RU" sz="1100">
                  <a:latin typeface="Cambria Math" panose="02040503050406030204" pitchFamily="18" charset="0"/>
                </a:rPr>
                <a:t>𝑎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>
                  <a:latin typeface="Cambria Math" panose="02040503050406030204" pitchFamily="18" charset="0"/>
                </a:rPr>
                <a:t>𝑡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ru-RU" sz="110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76200</xdr:colOff>
      <xdr:row>15</xdr:row>
      <xdr:rowOff>19050</xdr:rowOff>
    </xdr:from>
    <xdr:ext cx="815340" cy="318036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2095500" y="2624455"/>
              <a:ext cx="815340" cy="317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𝜋</m:t>
                        </m:r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𝑅</m:t>
                        </m:r>
                      </m:num>
                      <m:den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𝑣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2095500" y="2624455"/>
              <a:ext cx="815340" cy="317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</a:rPr>
                <a:t>𝑇</a:t>
              </a:r>
              <a:r>
                <a:rPr lang="ru-RU" sz="1100">
                  <a:latin typeface="Cambria Math" panose="02040503050406030204" pitchFamily="18" charset="0"/>
                </a:rPr>
                <a:t>=</a:t>
              </a:r>
              <a:r>
                <a:rPr lang="ru-RU" sz="1100">
                  <a:latin typeface="Cambria Math" panose="02040503050406030204" pitchFamily="18" charset="0"/>
                </a:rPr>
                <a:t>2</a:t>
              </a:r>
              <a:r>
                <a:rPr lang="ru-RU" sz="1100">
                  <a:latin typeface="Cambria Math" panose="02040503050406030204" pitchFamily="18" charset="0"/>
                </a:rPr>
                <a:t>𝜋</a:t>
              </a:r>
              <a:r>
                <a:rPr lang="ru-RU" sz="1100">
                  <a:latin typeface="Cambria Math" panose="02040503050406030204" pitchFamily="18" charset="0"/>
                </a:rPr>
                <a:t>𝑅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ru-RU" sz="1100">
                  <a:latin typeface="Cambria Math" panose="02040503050406030204" pitchFamily="18" charset="0"/>
                </a:rPr>
                <a:t>𝑣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243840</xdr:colOff>
      <xdr:row>16</xdr:row>
      <xdr:rowOff>64770</xdr:rowOff>
    </xdr:from>
    <xdr:ext cx="601980" cy="316882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2263140" y="3044825"/>
              <a:ext cx="601980" cy="3168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</a:rPr>
                      <m:t>𝜈</m:t>
                    </m:r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𝑇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2263140" y="3044825"/>
              <a:ext cx="601980" cy="3168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</a:rPr>
                <a:t>𝜈</a:t>
              </a:r>
              <a:r>
                <a:rPr lang="ru-RU" sz="1100">
                  <a:latin typeface="Cambria Math" panose="02040503050406030204" pitchFamily="18" charset="0"/>
                </a:rPr>
                <a:t>=</a:t>
              </a:r>
              <a:r>
                <a:rPr lang="ru-RU" sz="1100">
                  <a:latin typeface="Cambria Math" panose="02040503050406030204" pitchFamily="18" charset="0"/>
                </a:rPr>
                <a:t>1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ru-RU" sz="1100">
                  <a:latin typeface="Cambria Math" panose="02040503050406030204" pitchFamily="18" charset="0"/>
                </a:rPr>
                <a:t>𝑇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236220</xdr:colOff>
      <xdr:row>17</xdr:row>
      <xdr:rowOff>11430</xdr:rowOff>
    </xdr:from>
    <xdr:ext cx="617220" cy="338619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255520" y="3442335"/>
              <a:ext cx="617220" cy="3384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𝜗</m:t>
                            </m:r>
                          </m:e>
                          <m:sup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𝑅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255520" y="3442335"/>
              <a:ext cx="617220" cy="3384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</a:rPr>
                <a:t>𝑎</a:t>
              </a:r>
              <a:r>
                <a:rPr lang="ru-RU" sz="1100">
                  <a:latin typeface="Cambria Math" panose="02040503050406030204" pitchFamily="18" charset="0"/>
                </a:rPr>
                <a:t>=</a:t>
              </a:r>
              <a:r>
                <a:rPr lang="ru-RU" sz="1100">
                  <a:latin typeface="Cambria Math" panose="02040503050406030204" pitchFamily="18" charset="0"/>
                </a:rPr>
                <a:t>𝜗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ru-RU" sz="1100">
                  <a:latin typeface="Cambria Math" panose="02040503050406030204" pitchFamily="18" charset="0"/>
                </a:rPr>
                <a:t>2</a:t>
              </a:r>
              <a:r>
                <a:rPr lang="ru-RU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ru-RU" sz="1100">
                  <a:latin typeface="Cambria Math" panose="02040503050406030204" pitchFamily="18" charset="0"/>
                </a:rPr>
                <a:t>𝑅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workbookViewId="0">
      <selection activeCell="H11" sqref="H11"/>
    </sheetView>
  </sheetViews>
  <sheetFormatPr defaultColWidth="8.83333333333333" defaultRowHeight="13.8"/>
  <sheetData>
    <row r="1" ht="14" customHeight="1"/>
    <row r="2" ht="12" customHeight="1"/>
    <row r="3" ht="18" customHeight="1" spans="1:16">
      <c r="A3" s="1"/>
      <c r="B3" s="2" t="s">
        <v>0</v>
      </c>
      <c r="C3" s="3"/>
      <c r="D3" s="3"/>
      <c r="E3" s="3"/>
      <c r="F3" s="4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5"/>
      <c r="C4" s="29"/>
      <c r="D4" s="29"/>
      <c r="E4" s="29"/>
      <c r="F4" s="7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5"/>
      <c r="C5" s="29"/>
      <c r="D5" s="29"/>
      <c r="E5" s="29"/>
      <c r="F5" s="7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/>
      <c r="B6" s="5"/>
      <c r="C6" s="29"/>
      <c r="D6" s="29"/>
      <c r="E6" s="29"/>
      <c r="F6" s="7"/>
      <c r="G6" s="1"/>
      <c r="H6" s="1"/>
      <c r="I6" s="17" t="s">
        <v>1</v>
      </c>
      <c r="J6" s="17" t="s">
        <v>2</v>
      </c>
      <c r="K6" s="35" t="s">
        <v>3</v>
      </c>
      <c r="L6" s="17" t="s">
        <v>4</v>
      </c>
      <c r="M6" s="17" t="s">
        <v>5</v>
      </c>
      <c r="N6" s="17" t="s">
        <v>6</v>
      </c>
      <c r="O6" s="1"/>
      <c r="P6" s="1"/>
    </row>
    <row r="7" spans="1:16">
      <c r="A7" s="1"/>
      <c r="B7" s="8"/>
      <c r="C7" s="9"/>
      <c r="D7" s="9"/>
      <c r="E7" s="9"/>
      <c r="F7" s="10"/>
      <c r="G7" s="1"/>
      <c r="H7" s="1"/>
      <c r="I7" s="16">
        <v>0.4</v>
      </c>
      <c r="J7" s="16">
        <v>2</v>
      </c>
      <c r="K7" s="16">
        <v>12</v>
      </c>
      <c r="L7" s="16">
        <v>5</v>
      </c>
      <c r="M7" s="16">
        <f>K7/L7-J7/L7</f>
        <v>2</v>
      </c>
      <c r="N7" s="16">
        <f>K7*I7/2+J7*I7/2</f>
        <v>2.8</v>
      </c>
      <c r="O7" s="1"/>
      <c r="P7" s="1"/>
    </row>
    <row r="8" spans="1:1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30" t="s">
        <v>7</v>
      </c>
      <c r="C11" s="31"/>
      <c r="D11" s="31"/>
      <c r="E11" s="3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/>
      <c r="B12" s="31"/>
      <c r="C12" s="31"/>
      <c r="D12" s="31"/>
      <c r="E12" s="3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31"/>
      <c r="C13" s="31"/>
      <c r="D13" s="31"/>
      <c r="E13" s="3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31"/>
      <c r="C14" s="31"/>
      <c r="D14" s="31"/>
      <c r="E14" s="3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ht="28.25" customHeight="1" spans="1:16">
      <c r="A15" s="1"/>
      <c r="B15" s="31"/>
      <c r="C15" s="31"/>
      <c r="D15" s="31"/>
      <c r="E15" s="3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ht="30.5" customHeight="1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ht="35.5" customHeight="1" spans="1:16">
      <c r="A17" s="1"/>
      <c r="B17" s="1"/>
      <c r="C17" s="1"/>
      <c r="D17" s="32"/>
      <c r="E17" s="32"/>
      <c r="F17" s="32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1" t="s">
        <v>8</v>
      </c>
      <c r="E19" s="12"/>
      <c r="F19" s="13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33" t="s">
        <v>9</v>
      </c>
      <c r="E20" s="34">
        <v>0.4</v>
      </c>
      <c r="F20" s="34" t="s">
        <v>10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34" t="s">
        <v>2</v>
      </c>
      <c r="E21" s="34">
        <v>2</v>
      </c>
      <c r="F21" s="34" t="s">
        <v>11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34" t="s">
        <v>3</v>
      </c>
      <c r="E22" s="34">
        <v>12</v>
      </c>
      <c r="F22" s="34" t="s">
        <v>11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34" t="s">
        <v>12</v>
      </c>
      <c r="E23" s="34">
        <v>5</v>
      </c>
      <c r="F23" s="34" t="s">
        <v>13</v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 ht="27.6" spans="1:16">
      <c r="A24" s="1"/>
      <c r="B24" s="1"/>
      <c r="C24" s="1"/>
      <c r="D24" s="34" t="s">
        <v>14</v>
      </c>
      <c r="E24" s="33" t="s">
        <v>15</v>
      </c>
      <c r="F24" s="34"/>
      <c r="G24" s="1"/>
      <c r="H24" s="1"/>
      <c r="I24" s="1"/>
      <c r="J24" s="1"/>
      <c r="K24" s="1"/>
      <c r="L24" s="1"/>
      <c r="M24" s="1"/>
      <c r="N24" s="1"/>
      <c r="O24" s="1"/>
      <c r="P24" s="1"/>
    </row>
  </sheetData>
  <mergeCells count="6">
    <mergeCell ref="B11:E11"/>
    <mergeCell ref="D17:F17"/>
    <mergeCell ref="D19:F19"/>
    <mergeCell ref="B3:F7"/>
    <mergeCell ref="B12:E13"/>
    <mergeCell ref="B14:E1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Q21"/>
  <sheetViews>
    <sheetView zoomScale="76" zoomScaleNormal="76" workbookViewId="0">
      <selection activeCell="K7" sqref="K7"/>
    </sheetView>
  </sheetViews>
  <sheetFormatPr defaultColWidth="8.83333333333333" defaultRowHeight="13.8"/>
  <sheetData>
    <row r="4" ht="15" customHeight="1" spans="3:8">
      <c r="C4" s="20" t="s">
        <v>16</v>
      </c>
      <c r="D4" s="20"/>
      <c r="E4" s="20"/>
      <c r="F4" s="20"/>
      <c r="G4" s="20"/>
      <c r="H4" s="20"/>
    </row>
    <row r="5" spans="3:8">
      <c r="C5" s="20"/>
      <c r="D5" s="20"/>
      <c r="E5" s="20"/>
      <c r="F5" s="20"/>
      <c r="G5" s="20"/>
      <c r="H5" s="20"/>
    </row>
    <row r="6" spans="3:8">
      <c r="C6" s="20"/>
      <c r="D6" s="20"/>
      <c r="E6" s="20"/>
      <c r="F6" s="20"/>
      <c r="G6" s="20"/>
      <c r="H6" s="20"/>
    </row>
    <row r="7" spans="3:8">
      <c r="C7" s="20"/>
      <c r="D7" s="20"/>
      <c r="E7" s="20"/>
      <c r="F7" s="20"/>
      <c r="G7" s="20"/>
      <c r="H7" s="20"/>
    </row>
    <row r="9" spans="4:6">
      <c r="D9" s="21" t="s">
        <v>8</v>
      </c>
      <c r="E9" s="22"/>
      <c r="F9" s="23"/>
    </row>
    <row r="10" ht="18" customHeight="1" spans="4:6">
      <c r="D10" s="24" t="s">
        <v>17</v>
      </c>
      <c r="E10" s="25">
        <v>2</v>
      </c>
      <c r="F10" s="25" t="s">
        <v>18</v>
      </c>
    </row>
    <row r="11" ht="59.5" customHeight="1" spans="4:17">
      <c r="D11" s="26" t="s">
        <v>19</v>
      </c>
      <c r="E11" s="25">
        <v>4</v>
      </c>
      <c r="F11" s="25" t="s">
        <v>18</v>
      </c>
      <c r="J11" s="25" t="s">
        <v>1</v>
      </c>
      <c r="K11" s="25" t="s">
        <v>19</v>
      </c>
      <c r="L11" s="25" t="s">
        <v>20</v>
      </c>
      <c r="M11" s="25" t="s">
        <v>4</v>
      </c>
      <c r="N11" s="25" t="s">
        <v>3</v>
      </c>
      <c r="O11" s="28" t="s">
        <v>21</v>
      </c>
      <c r="P11" s="28" t="s">
        <v>22</v>
      </c>
      <c r="Q11" s="25" t="s">
        <v>5</v>
      </c>
    </row>
    <row r="12" spans="4:17">
      <c r="D12" s="26" t="s">
        <v>23</v>
      </c>
      <c r="E12" s="25">
        <v>10</v>
      </c>
      <c r="F12" s="25" t="s">
        <v>18</v>
      </c>
      <c r="J12" s="25">
        <v>2</v>
      </c>
      <c r="K12" s="25">
        <v>4</v>
      </c>
      <c r="L12" s="25">
        <v>10</v>
      </c>
      <c r="M12" s="25">
        <v>5</v>
      </c>
      <c r="N12" s="25">
        <v>5</v>
      </c>
      <c r="O12" s="25">
        <f>L12/M12-K12/M12</f>
        <v>1.2</v>
      </c>
      <c r="P12" s="25">
        <f>N12*N12*J12</f>
        <v>50</v>
      </c>
      <c r="Q12" s="25">
        <v>50.2</v>
      </c>
    </row>
    <row r="13" spans="4:6">
      <c r="D13" s="26" t="s">
        <v>12</v>
      </c>
      <c r="E13" s="25">
        <v>5</v>
      </c>
      <c r="F13" s="25" t="s">
        <v>13</v>
      </c>
    </row>
    <row r="14" spans="4:6">
      <c r="D14" s="26" t="s">
        <v>3</v>
      </c>
      <c r="E14" s="25">
        <v>5</v>
      </c>
      <c r="F14" s="25" t="s">
        <v>11</v>
      </c>
    </row>
    <row r="15" spans="4:6">
      <c r="D15" s="24" t="s">
        <v>24</v>
      </c>
      <c r="E15" s="25"/>
      <c r="F15" s="25" t="s">
        <v>25</v>
      </c>
    </row>
    <row r="16" spans="4:6">
      <c r="D16" s="26" t="s">
        <v>26</v>
      </c>
      <c r="E16" s="25"/>
      <c r="F16" s="25" t="s">
        <v>27</v>
      </c>
    </row>
    <row r="18" spans="4:6">
      <c r="D18" s="27" t="s">
        <v>7</v>
      </c>
      <c r="E18" s="27"/>
      <c r="F18" s="27"/>
    </row>
    <row r="19" ht="25.25" customHeight="1" spans="4:6">
      <c r="D19" s="27"/>
      <c r="E19" s="27"/>
      <c r="F19" s="27"/>
    </row>
    <row r="20" ht="31.25" customHeight="1" spans="4:6">
      <c r="D20" s="27"/>
      <c r="E20" s="27"/>
      <c r="F20" s="27"/>
    </row>
    <row r="21" ht="26.5" customHeight="1" spans="4:6">
      <c r="D21" s="27"/>
      <c r="E21" s="27"/>
      <c r="F21" s="27"/>
    </row>
  </sheetData>
  <mergeCells count="6">
    <mergeCell ref="D9:F9"/>
    <mergeCell ref="D18:F18"/>
    <mergeCell ref="D19:F19"/>
    <mergeCell ref="D20:F20"/>
    <mergeCell ref="D21:F21"/>
    <mergeCell ref="C4:H7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N18"/>
  <sheetViews>
    <sheetView zoomScale="96" zoomScaleNormal="96" workbookViewId="0">
      <selection activeCell="N19" sqref="N19"/>
    </sheetView>
  </sheetViews>
  <sheetFormatPr defaultColWidth="8.83333333333333" defaultRowHeight="13.8"/>
  <cols>
    <col min="11" max="11" width="11.5"/>
  </cols>
  <sheetData>
    <row r="4" spans="2:14">
      <c r="B4" s="1"/>
      <c r="C4" s="2" t="s">
        <v>28</v>
      </c>
      <c r="D4" s="3"/>
      <c r="E4" s="3"/>
      <c r="F4" s="3"/>
      <c r="G4" s="3"/>
      <c r="H4" s="4"/>
      <c r="I4" s="1"/>
      <c r="J4" s="1"/>
      <c r="K4" s="1"/>
      <c r="L4" s="1"/>
      <c r="M4" s="1"/>
      <c r="N4" s="1"/>
    </row>
    <row r="5" spans="2:14">
      <c r="B5" s="1"/>
      <c r="C5" s="5"/>
      <c r="D5" s="6"/>
      <c r="E5" s="6"/>
      <c r="F5" s="6"/>
      <c r="G5" s="6"/>
      <c r="H5" s="7"/>
      <c r="I5" s="1"/>
      <c r="J5" s="1"/>
      <c r="K5" s="1"/>
      <c r="L5" s="1"/>
      <c r="M5" s="1"/>
      <c r="N5" s="1"/>
    </row>
    <row r="6" spans="2:14">
      <c r="B6" s="1"/>
      <c r="C6" s="8"/>
      <c r="D6" s="9"/>
      <c r="E6" s="9"/>
      <c r="F6" s="9"/>
      <c r="G6" s="9"/>
      <c r="H6" s="10"/>
      <c r="I6" s="1"/>
      <c r="J6" s="1"/>
      <c r="K6" s="1"/>
      <c r="L6" s="1"/>
      <c r="M6" s="1"/>
      <c r="N6" s="1"/>
    </row>
    <row r="7" spans="2:14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2:14">
      <c r="B8" s="1"/>
      <c r="C8" s="1"/>
      <c r="D8" s="11" t="s">
        <v>8</v>
      </c>
      <c r="E8" s="12"/>
      <c r="F8" s="13"/>
      <c r="G8" s="1"/>
      <c r="H8" s="1"/>
      <c r="I8" s="1"/>
      <c r="J8" s="1"/>
      <c r="K8" s="1"/>
      <c r="L8" s="1"/>
      <c r="M8" s="1"/>
      <c r="N8" s="1"/>
    </row>
    <row r="9" hidden="1" spans="2:14">
      <c r="B9" s="1"/>
      <c r="C9" s="1"/>
      <c r="D9" s="14"/>
      <c r="E9" s="14"/>
      <c r="F9" s="14"/>
      <c r="G9" s="1"/>
      <c r="H9" s="1"/>
      <c r="I9" s="1"/>
      <c r="J9" s="1"/>
      <c r="K9" s="1"/>
      <c r="L9" s="1"/>
      <c r="M9" s="1"/>
      <c r="N9" s="1"/>
    </row>
    <row r="10" ht="25.75" customHeight="1" spans="2:14">
      <c r="B10" s="1"/>
      <c r="C10" s="1"/>
      <c r="D10" s="15" t="s">
        <v>29</v>
      </c>
      <c r="E10" s="16">
        <v>20</v>
      </c>
      <c r="F10" s="17" t="s">
        <v>18</v>
      </c>
      <c r="G10" s="1"/>
      <c r="H10" s="1"/>
      <c r="I10" s="17" t="s">
        <v>20</v>
      </c>
      <c r="J10" s="17" t="s">
        <v>1</v>
      </c>
      <c r="K10" s="17" t="s">
        <v>30</v>
      </c>
      <c r="L10" s="17" t="s">
        <v>31</v>
      </c>
      <c r="M10" s="17" t="s">
        <v>5</v>
      </c>
      <c r="N10" s="1"/>
    </row>
    <row r="11" spans="2:14">
      <c r="B11" s="1"/>
      <c r="C11" s="1"/>
      <c r="D11" s="17" t="s">
        <v>32</v>
      </c>
      <c r="E11" s="16">
        <v>5</v>
      </c>
      <c r="F11" s="17" t="s">
        <v>10</v>
      </c>
      <c r="G11" s="1"/>
      <c r="H11" s="1"/>
      <c r="I11" s="16">
        <v>20</v>
      </c>
      <c r="J11" s="16">
        <v>5</v>
      </c>
      <c r="K11" s="16">
        <f>1/L11</f>
        <v>0.636942675159236</v>
      </c>
      <c r="L11" s="16">
        <f>2*3.14*J11/I11</f>
        <v>1.57</v>
      </c>
      <c r="M11" s="16">
        <f>I11*I11/J11</f>
        <v>80</v>
      </c>
      <c r="N11" s="1"/>
    </row>
    <row r="12" spans="2:14">
      <c r="B12" s="1"/>
      <c r="C12" s="1"/>
      <c r="D12" s="17" t="s">
        <v>33</v>
      </c>
      <c r="E12" s="15" t="s">
        <v>34</v>
      </c>
      <c r="F12" s="17" t="s">
        <v>35</v>
      </c>
      <c r="G12" s="1"/>
      <c r="H12" s="1"/>
      <c r="I12" s="1"/>
      <c r="J12" s="1"/>
      <c r="K12" s="1"/>
      <c r="L12" s="1"/>
      <c r="M12" s="1"/>
      <c r="N12" s="1"/>
    </row>
    <row r="13" spans="2:1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>
      <c r="B15" s="1"/>
      <c r="C15" s="18" t="s">
        <v>36</v>
      </c>
      <c r="D15" s="18"/>
      <c r="E15" s="18"/>
      <c r="F15" s="18"/>
      <c r="G15" s="1"/>
      <c r="H15" s="1"/>
      <c r="I15" s="1"/>
      <c r="J15" s="1"/>
      <c r="K15" s="1"/>
      <c r="L15" s="1"/>
      <c r="M15" s="1"/>
      <c r="N15" s="1"/>
    </row>
    <row r="16" ht="29.5" customHeight="1" spans="2:14">
      <c r="B16" s="1"/>
      <c r="C16" s="18"/>
      <c r="D16" s="18"/>
      <c r="E16" s="18"/>
      <c r="F16" s="18"/>
      <c r="G16" s="1"/>
      <c r="H16" s="1"/>
      <c r="I16" s="1"/>
      <c r="J16" s="1"/>
      <c r="K16" s="1"/>
      <c r="L16" s="1"/>
      <c r="M16" s="1"/>
      <c r="N16" s="1"/>
    </row>
    <row r="17" ht="35.5" customHeight="1" spans="2:14">
      <c r="B17" s="1"/>
      <c r="C17" s="19" t="s">
        <v>37</v>
      </c>
      <c r="D17" s="18"/>
      <c r="E17" s="18"/>
      <c r="F17" s="18"/>
      <c r="G17" s="1"/>
      <c r="H17" s="1"/>
      <c r="I17" s="1"/>
      <c r="J17" s="1"/>
      <c r="K17" s="1"/>
      <c r="L17" s="1"/>
      <c r="M17" s="1"/>
      <c r="N17" s="1"/>
    </row>
    <row r="18" ht="31.25" customHeight="1" spans="2:14">
      <c r="B18" s="1"/>
      <c r="C18" s="18"/>
      <c r="D18" s="18"/>
      <c r="E18" s="18"/>
      <c r="F18" s="18"/>
      <c r="G18" s="1"/>
      <c r="H18" s="1"/>
      <c r="I18" s="1"/>
      <c r="J18" s="1"/>
      <c r="K18" s="1"/>
      <c r="L18" s="1"/>
      <c r="M18" s="1"/>
      <c r="N18" s="1"/>
    </row>
  </sheetData>
  <mergeCells count="7">
    <mergeCell ref="D8:F8"/>
    <mergeCell ref="D9:F9"/>
    <mergeCell ref="C15:F15"/>
    <mergeCell ref="C16:F16"/>
    <mergeCell ref="C17:F17"/>
    <mergeCell ref="C18:F18"/>
    <mergeCell ref="C4:H6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Admin</cp:lastModifiedBy>
  <dcterms:created xsi:type="dcterms:W3CDTF">2025-04-01T13:27:00Z</dcterms:created>
  <dcterms:modified xsi:type="dcterms:W3CDTF">2025-06-01T19:50:25Z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F6B98B72684448B29554FC93ACE0F37B_12</vt:lpwstr>
  </property>
  <property fmtid="{D5CDD505-2E9C-101B-9397-08002B2CF9AE}" pid="3" name="KSOProductBuildVer">
    <vt:lpwstr>1049-12.2.0.21179</vt:lpwstr>
  </property>
</Properties>
</file>