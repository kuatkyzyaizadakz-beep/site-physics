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2"/>
  </bookViews>
  <sheets>
    <sheet name="1-есеп" sheetId="1" r:id="rId1"/>
    <sheet name="2-есеп" sheetId="2" r:id="rId2"/>
    <sheet name="3-есе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<sst xmlns="http://schemas.openxmlformats.org/spreadsheetml/2006/main" count="65" uniqueCount="47">
  <si>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1.Аңшы жеңіл үрлемелі қайықтан оқ атады. Егер аңшының қайықпен бірге қосқандағы массасы 70кг, оқтыңмассасы 35г және бастапқы орташа жылдамдығы 350 м/с болса, оқтың атылу сәтінде қайық қандай жылдамдық алады. Қару оқ ату кезінде көкжиекке 60° бұрыш жасайды.</t>
  </si>
  <si>
    <t>Деректер кестесі</t>
  </si>
  <si>
    <t>Нәтиже кестесі</t>
  </si>
  <si>
    <r>
      <t>m</t>
    </r>
    <r>
      <rPr>
        <vertAlign val="subscript"/>
        <sz val="12"/>
        <color theme="1"/>
        <rFont val="Times New Roman"/>
        <charset val="134"/>
      </rPr>
      <t>1</t>
    </r>
  </si>
  <si>
    <t>кг</t>
  </si>
  <si>
    <r>
      <t>m</t>
    </r>
    <r>
      <rPr>
        <vertAlign val="subscript"/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204"/>
      </rPr>
      <t>, кг</t>
    </r>
  </si>
  <si>
    <r>
      <t>m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204"/>
      </rPr>
      <t>, кг</t>
    </r>
  </si>
  <si>
    <r>
      <t>Ʋ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134"/>
      </rPr>
      <t>, м/с</t>
    </r>
  </si>
  <si>
    <r>
      <t>Ʋ</t>
    </r>
    <r>
      <rPr>
        <vertAlign val="subscript"/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204"/>
      </rPr>
      <t>, м/с</t>
    </r>
  </si>
  <si>
    <r>
      <t>m</t>
    </r>
    <r>
      <rPr>
        <vertAlign val="subscript"/>
        <sz val="12"/>
        <color theme="1"/>
        <rFont val="Times New Roman"/>
        <charset val="134"/>
      </rPr>
      <t>2</t>
    </r>
  </si>
  <si>
    <t>г</t>
  </si>
  <si>
    <r>
      <t>35*10</t>
    </r>
    <r>
      <rPr>
        <vertAlign val="superscript"/>
        <sz val="12"/>
        <color theme="1"/>
        <rFont val="Times New Roman"/>
        <charset val="134"/>
      </rPr>
      <t>-3</t>
    </r>
  </si>
  <si>
    <r>
      <t>Ʋ</t>
    </r>
    <r>
      <rPr>
        <vertAlign val="subscript"/>
        <sz val="12"/>
        <color theme="1"/>
        <rFont val="Times New Roman"/>
        <charset val="134"/>
      </rPr>
      <t>2</t>
    </r>
  </si>
  <si>
    <t>м/с</t>
  </si>
  <si>
    <t>α</t>
  </si>
  <si>
    <r>
      <t>60</t>
    </r>
    <r>
      <rPr>
        <sz val="12"/>
        <color theme="1"/>
        <rFont val="Times New Roman"/>
        <charset val="134"/>
      </rPr>
      <t>°</t>
    </r>
  </si>
  <si>
    <r>
      <t>Т/к:Ʋ</t>
    </r>
    <r>
      <rPr>
        <vertAlign val="subscript"/>
        <sz val="12"/>
        <color theme="1"/>
        <rFont val="Times New Roman"/>
        <charset val="134"/>
      </rPr>
      <t>1</t>
    </r>
  </si>
  <si>
    <t>?</t>
  </si>
  <si>
    <t>Есептеуші формула</t>
  </si>
  <si>
    <t>2.Қандай да бір серіппеге массасы 2кг жүкілгенде, серіппе 4см-ге ұзарады. Серіппені 2см-ден 12см-ге ұзарту үшін қандай жұмыс жасау керек?</t>
  </si>
  <si>
    <t>m</t>
  </si>
  <si>
    <t>m, кг</t>
  </si>
  <si>
    <t>x, м</t>
  </si>
  <si>
    <r>
      <t>x</t>
    </r>
    <r>
      <rPr>
        <vertAlign val="subscript"/>
        <sz val="12"/>
        <color theme="1"/>
        <rFont val="Times New Roman"/>
        <charset val="134"/>
      </rPr>
      <t>1</t>
    </r>
    <r>
      <rPr>
        <sz val="12"/>
        <color theme="1"/>
        <rFont val="Times New Roman"/>
        <charset val="204"/>
      </rPr>
      <t>, м</t>
    </r>
  </si>
  <si>
    <r>
      <t>x</t>
    </r>
    <r>
      <rPr>
        <vertAlign val="subscript"/>
        <sz val="12"/>
        <color theme="1"/>
        <rFont val="Times New Roman"/>
        <charset val="134"/>
      </rPr>
      <t>2</t>
    </r>
    <r>
      <rPr>
        <sz val="12"/>
        <color theme="1"/>
        <rFont val="Times New Roman"/>
        <charset val="204"/>
      </rPr>
      <t>, м</t>
    </r>
  </si>
  <si>
    <t>А, Дж</t>
  </si>
  <si>
    <t>x</t>
  </si>
  <si>
    <t>см</t>
  </si>
  <si>
    <r>
      <t>4*10</t>
    </r>
    <r>
      <rPr>
        <vertAlign val="superscript"/>
        <sz val="12"/>
        <color theme="1"/>
        <rFont val="Times New Roman"/>
        <charset val="134"/>
      </rPr>
      <t>-2</t>
    </r>
  </si>
  <si>
    <t>м</t>
  </si>
  <si>
    <r>
      <t>x</t>
    </r>
    <r>
      <rPr>
        <vertAlign val="subscript"/>
        <sz val="12"/>
        <color theme="1"/>
        <rFont val="Times New Roman"/>
        <charset val="134"/>
      </rPr>
      <t>1</t>
    </r>
  </si>
  <si>
    <r>
      <t>2*10</t>
    </r>
    <r>
      <rPr>
        <vertAlign val="superscript"/>
        <sz val="12"/>
        <color theme="1"/>
        <rFont val="Times New Roman"/>
        <charset val="134"/>
      </rPr>
      <t>-2</t>
    </r>
  </si>
  <si>
    <r>
      <t>x</t>
    </r>
    <r>
      <rPr>
        <vertAlign val="subscript"/>
        <sz val="12"/>
        <color theme="1"/>
        <rFont val="Times New Roman"/>
        <charset val="134"/>
      </rPr>
      <t>2</t>
    </r>
  </si>
  <si>
    <r>
      <t>12*10</t>
    </r>
    <r>
      <rPr>
        <vertAlign val="superscript"/>
        <sz val="12"/>
        <color theme="1"/>
        <rFont val="Times New Roman"/>
        <charset val="134"/>
      </rPr>
      <t>-2</t>
    </r>
  </si>
  <si>
    <t>g</t>
  </si>
  <si>
    <r>
      <t>м/с</t>
    </r>
    <r>
      <rPr>
        <vertAlign val="superscript"/>
        <sz val="12"/>
        <color theme="1"/>
        <rFont val="Times New Roman"/>
        <charset val="134"/>
      </rPr>
      <t>2</t>
    </r>
  </si>
  <si>
    <t>Т/к:А</t>
  </si>
  <si>
    <t>Дж</t>
  </si>
  <si>
    <t>Есептеуші формулалар</t>
  </si>
  <si>
    <t>3.Биіктігі 0,8 м тегіс көлбеу жазықтықтан сырғанаған дененің жерге түсу жылдамдығын анықтаңдар.</t>
  </si>
  <si>
    <t>h</t>
  </si>
  <si>
    <t>h, м</t>
  </si>
  <si>
    <r>
      <t>g, м/с</t>
    </r>
    <r>
      <rPr>
        <vertAlign val="superscript"/>
        <sz val="12"/>
        <color theme="1"/>
        <rFont val="Times New Roman"/>
        <charset val="134"/>
      </rPr>
      <t>2</t>
    </r>
  </si>
  <si>
    <t>Ʋ, м/с</t>
  </si>
  <si>
    <r>
      <t>Ʋ</t>
    </r>
    <r>
      <rPr>
        <vertAlign val="subscript"/>
        <sz val="12"/>
        <color theme="1"/>
        <rFont val="Times New Roman"/>
        <charset val="134"/>
      </rPr>
      <t>0</t>
    </r>
  </si>
  <si>
    <t>Т/к:Ʋ</t>
  </si>
  <si>
    <t>Есептеущі формулалар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</si>
</sst>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5">
    <font>
      <sz val="11"/>
      <color theme="1"/>
      <name val="Aptos Narrow"/>
      <charset val="204"/>
      <scheme val="minor"/>
    </font>
    <font>
      <sz val="12"/>
      <color theme="1"/>
      <name val="Times New Roman"/>
      <charset val="204"/>
    </font>
    <font>
      <sz val="12"/>
      <color theme="1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vertAlign val="subscript"/>
      <sz val="12"/>
      <color theme="1"/>
      <name val="Times New Roman"/>
      <charset val="134"/>
    </font>
    <font>
      <vertAlign val="superscript"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419100</xdr:colOff>
      <xdr:row>15</xdr:row>
      <xdr:rowOff>3810</xdr:rowOff>
    </xdr:from>
    <xdr:ext cx="1094980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765300" y="3121660"/>
              <a:ext cx="109474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acc>
                      <m:accPr>
                        <m:chr m:val="⃗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e>
                    </m:acc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acc>
                      <m:accPr>
                        <m:chr m:val="⃗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765300" y="3121660"/>
              <a:ext cx="1094740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⃗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 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297180</xdr:colOff>
      <xdr:row>15</xdr:row>
      <xdr:rowOff>179070</xdr:rowOff>
    </xdr:from>
    <xdr:ext cx="1424044" cy="190500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643380" y="3296920"/>
              <a:ext cx="142367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sub>
                    </m:sSub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643380" y="3296920"/>
              <a:ext cx="1423670" cy="1905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137160</xdr:colOff>
      <xdr:row>17</xdr:row>
      <xdr:rowOff>11430</xdr:rowOff>
    </xdr:from>
    <xdr:ext cx="1534010" cy="17376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483360" y="3525520"/>
              <a:ext cx="153352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0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=−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func>
                      <m:func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cos</m:t>
                        </m:r>
                      </m:fName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𝛼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483360" y="3525520"/>
              <a:ext cx="153352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0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=−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cos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419100</xdr:colOff>
      <xdr:row>18</xdr:row>
      <xdr:rowOff>57150</xdr:rowOff>
    </xdr:from>
    <xdr:ext cx="1087927" cy="302668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765300" y="3769360"/>
              <a:ext cx="1087755" cy="302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b>
                        </m:sSub>
                        <m:func>
                          <m:func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uncPr>
                          <m:fName>
                            <m:r>
                              <m:rPr>
                                <m:sty m:val="p"/>
                              </m:rPr>
                              <a:rPr lang="en-US" sz="11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cos</m:t>
                            </m:r>
                          </m:fName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𝛼</m:t>
                            </m:r>
                          </m:e>
                        </m:func>
                      </m:num>
                      <m:den>
                        <m:sSub>
                          <m:sSub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𝑚</m:t>
                            </m:r>
                          </m:e>
                          <m:sub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1</m:t>
                            </m:r>
                          </m:sub>
                        </m:sSub>
                      </m:den>
                    </m:f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765300" y="3769360"/>
              <a:ext cx="1087755" cy="3022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cos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𝛼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4</xdr:col>
      <xdr:colOff>83820</xdr:colOff>
      <xdr:row>11</xdr:row>
      <xdr:rowOff>3810</xdr:rowOff>
    </xdr:from>
    <xdr:ext cx="456728" cy="173766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2776220" y="2283460"/>
              <a:ext cx="45656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i="0"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°</m:t>
                        </m:r>
                      </m:e>
                    </m:func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2776220" y="2283460"/>
              <a:ext cx="45656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latin typeface="Cambria Math" panose="02040503050406030204" pitchFamily="18" charset="0"/>
                </a:rPr>
                <a:t>cos</a:t>
              </a:r>
              <a:r>
                <a:rPr lang="en-US" sz="1100" b="0">
                  <a:latin typeface="Cambria Math" panose="02040503050406030204" pitchFamily="18" charset="0"/>
                </a:rPr>
                <a:t>60</a:t>
              </a:r>
              <a:r>
                <a:rPr lang="en-US" sz="1100" b="0">
                  <a:latin typeface="Cambria Math" panose="02040503050406030204" pitchFamily="18" charset="0"/>
                </a:rPr>
                <a:t>°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22860</xdr:colOff>
      <xdr:row>14</xdr:row>
      <xdr:rowOff>3810</xdr:rowOff>
    </xdr:from>
    <xdr:ext cx="528413" cy="327674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2042160" y="2908300"/>
              <a:ext cx="52832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𝑘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2042160" y="2908300"/>
              <a:ext cx="52832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7620</xdr:colOff>
      <xdr:row>15</xdr:row>
      <xdr:rowOff>179070</xdr:rowOff>
    </xdr:from>
    <xdr:ext cx="626838" cy="172979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2026920" y="3281680"/>
              <a:ext cx="62674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серп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𝐹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а</m:t>
                        </m:r>
                      </m:sub>
                    </m:sSub>
                    <m:r>
                      <m:rPr>
                        <m:nor/>
                      </m:rPr>
                      <a:rPr lang="en-US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2026920" y="3281680"/>
              <a:ext cx="626745" cy="1727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серп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𝐹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а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541020</xdr:colOff>
      <xdr:row>17</xdr:row>
      <xdr:rowOff>11430</xdr:rowOff>
    </xdr:from>
    <xdr:ext cx="735458" cy="194310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887220" y="3510280"/>
              <a:ext cx="735330" cy="1943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𝑘𝑥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</m:t>
                    </m:r>
                  </m:oMath>
                </m:oMathPara>
              </a14:m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887220" y="3510280"/>
              <a:ext cx="735330" cy="1943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/>
              </a:pP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endParaRPr 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7620</xdr:colOff>
      <xdr:row>18</xdr:row>
      <xdr:rowOff>57150</xdr:rowOff>
    </xdr:from>
    <xdr:ext cx="499047" cy="274648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2026920" y="3754120"/>
              <a:ext cx="498475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𝑘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2026920" y="3754120"/>
              <a:ext cx="498475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𝑘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426720</xdr:colOff>
      <xdr:row>20</xdr:row>
      <xdr:rowOff>41910</xdr:rowOff>
    </xdr:from>
    <xdr:ext cx="1107867" cy="274648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1772920" y="4135120"/>
              <a:ext cx="1107440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𝐴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𝑚𝑔</m:t>
                        </m:r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den>
                    </m:f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sSubSup>
                      <m:sSubSup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  <m:sup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bSup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1772920" y="4135120"/>
              <a:ext cx="1107440" cy="2743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𝐴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518160</xdr:colOff>
      <xdr:row>12</xdr:row>
      <xdr:rowOff>11430</xdr:rowOff>
    </xdr:from>
    <xdr:ext cx="638701" cy="173766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1"/>
            <xdr:cNvSpPr txBox="1"/>
          </xdr:nvSpPr>
          <xdr:spPr>
            <a:xfrm>
              <a:off x="1864360" y="2442210"/>
              <a:ext cx="6381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𝑚𝑔ℎ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1"/>
            <xdr:cNvSpPr txBox="1"/>
          </xdr:nvSpPr>
          <xdr:spPr>
            <a:xfrm>
              <a:off x="1864360" y="2442210"/>
              <a:ext cx="63817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533400</xdr:colOff>
      <xdr:row>13</xdr:row>
      <xdr:rowOff>11430</xdr:rowOff>
    </xdr:from>
    <xdr:ext cx="621965" cy="327674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2"/>
            <xdr:cNvSpPr txBox="1"/>
          </xdr:nvSpPr>
          <xdr:spPr>
            <a:xfrm>
              <a:off x="1879600" y="2640330"/>
              <a:ext cx="621665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2"/>
            <xdr:cNvSpPr txBox="1"/>
          </xdr:nvSpPr>
          <xdr:spPr>
            <a:xfrm>
              <a:off x="1879600" y="2640330"/>
              <a:ext cx="621665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594360</xdr:colOff>
      <xdr:row>14</xdr:row>
      <xdr:rowOff>179070</xdr:rowOff>
    </xdr:from>
    <xdr:ext cx="496866" cy="162336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1940560" y="3006090"/>
              <a:ext cx="49657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𝐸</m:t>
                        </m:r>
                      </m:e>
                      <m:sub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1940560" y="3006090"/>
              <a:ext cx="496570" cy="1619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𝐸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441960</xdr:colOff>
      <xdr:row>16</xdr:row>
      <xdr:rowOff>11430</xdr:rowOff>
    </xdr:from>
    <xdr:ext cx="790153" cy="327674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4"/>
            <xdr:cNvSpPr txBox="1"/>
          </xdr:nvSpPr>
          <xdr:spPr>
            <a:xfrm>
              <a:off x="1788160" y="3234690"/>
              <a:ext cx="78994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US" sz="110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𝑚𝑔ℎ</m:t>
                    </m:r>
                    <m:r>
                      <a:rPr lang="en-US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𝑚</m:t>
                        </m:r>
                        <m:sSup>
                          <m:sSupPr>
                            <m:ctrlP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𝑣</m:t>
                            </m:r>
                          </m:e>
                          <m:sup>
                            <m:r>
                              <a:rPr lang="en-US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4"/>
            <xdr:cNvSpPr txBox="1"/>
          </xdr:nvSpPr>
          <xdr:spPr>
            <a:xfrm>
              <a:off x="1788160" y="3234690"/>
              <a:ext cx="789940" cy="3276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𝑚𝑔ℎ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𝑚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^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510540</xdr:colOff>
      <xdr:row>17</xdr:row>
      <xdr:rowOff>179070</xdr:rowOff>
    </xdr:from>
    <xdr:ext cx="640816" cy="17832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5"/>
            <xdr:cNvSpPr txBox="1"/>
          </xdr:nvSpPr>
          <xdr:spPr>
            <a:xfrm>
              <a:off x="1856740" y="3600450"/>
              <a:ext cx="640715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𝑣</m:t>
                    </m:r>
                    <m:r>
                      <a:rPr lang="ru-RU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radPr>
                      <m:deg/>
                      <m:e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  <m:r>
                          <a:rPr lang="en-US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𝑔</m:t>
                        </m:r>
                        <m: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ℎ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5"/>
            <xdr:cNvSpPr txBox="1"/>
          </xdr:nvSpPr>
          <xdr:spPr>
            <a:xfrm>
              <a:off x="1856740" y="3600450"/>
              <a:ext cx="640715" cy="1778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√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𝑔</a:t>
              </a:r>
              <a:r>
                <a:rPr lang="ru-RU" sz="11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ℎ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L21"/>
  <sheetViews>
    <sheetView workbookViewId="0">
      <selection activeCell="L11" sqref="L11"/>
    </sheetView>
  </sheetViews>
  <sheetFormatPr defaultColWidth="8.83333333333333" defaultRowHeight="13.8"/>
  <sheetData>
    <row r="2" ht="15.6" spans="3:12">
      <c r="C2" s="1"/>
      <c r="D2" s="1"/>
      <c r="E2" s="1"/>
      <c r="F2" s="1"/>
      <c r="G2" s="1"/>
      <c r="H2" s="1"/>
      <c r="I2" s="1"/>
      <c r="J2" s="1"/>
      <c r="K2" s="1"/>
      <c r="L2" s="1"/>
    </row>
    <row r="3" ht="14.5" customHeight="1" spans="3:12">
      <c r="C3" s="2" t="s">
        <v>0</v>
      </c>
      <c r="D3" s="3"/>
      <c r="E3" s="3"/>
      <c r="F3" s="3"/>
      <c r="G3" s="3"/>
      <c r="H3" s="3"/>
      <c r="I3" s="3"/>
      <c r="J3" s="3"/>
      <c r="K3" s="3"/>
      <c r="L3" s="1"/>
    </row>
    <row r="4" ht="15.6" spans="3:12">
      <c r="C4" s="3"/>
      <c r="D4" s="3"/>
      <c r="E4" s="3"/>
      <c r="F4" s="3"/>
      <c r="G4" s="3"/>
      <c r="H4" s="3"/>
      <c r="I4" s="3"/>
      <c r="J4" s="3"/>
      <c r="K4" s="3"/>
      <c r="L4" s="1"/>
    </row>
    <row r="5" ht="15.6" spans="3:12">
      <c r="C5" s="3"/>
      <c r="D5" s="3"/>
      <c r="E5" s="3"/>
      <c r="F5" s="3"/>
      <c r="G5" s="3"/>
      <c r="H5" s="3"/>
      <c r="I5" s="3"/>
      <c r="J5" s="3"/>
      <c r="K5" s="3"/>
      <c r="L5" s="1"/>
    </row>
    <row r="6" ht="15.6" spans="3:12">
      <c r="C6" s="3"/>
      <c r="D6" s="3"/>
      <c r="E6" s="3"/>
      <c r="F6" s="3"/>
      <c r="G6" s="3"/>
      <c r="H6" s="3"/>
      <c r="I6" s="3"/>
      <c r="J6" s="3"/>
      <c r="K6" s="3"/>
      <c r="L6" s="1"/>
    </row>
    <row r="7" ht="15.6" spans="3:12">
      <c r="C7" s="1"/>
      <c r="D7" s="1"/>
      <c r="E7" s="1"/>
      <c r="F7" s="1"/>
      <c r="G7" s="1"/>
      <c r="H7" s="1"/>
      <c r="I7" s="1"/>
      <c r="J7" s="1"/>
      <c r="K7" s="1"/>
      <c r="L7" s="1"/>
    </row>
    <row r="8" ht="15.6" spans="3:12">
      <c r="C8" s="4" t="s">
        <v>1</v>
      </c>
      <c r="D8" s="5"/>
      <c r="E8" s="5"/>
      <c r="F8" s="5"/>
      <c r="G8" s="5"/>
      <c r="H8" s="1"/>
      <c r="I8" s="4" t="s">
        <v>2</v>
      </c>
      <c r="J8" s="5"/>
      <c r="K8" s="5"/>
      <c r="L8" s="5"/>
    </row>
    <row r="9" ht="19.2" spans="3:12">
      <c r="C9" s="6" t="s">
        <v>3</v>
      </c>
      <c r="D9" s="7">
        <v>70</v>
      </c>
      <c r="E9" s="6" t="s">
        <v>4</v>
      </c>
      <c r="F9" s="7"/>
      <c r="G9" s="7"/>
      <c r="H9" s="1"/>
      <c r="I9" s="6" t="s">
        <v>5</v>
      </c>
      <c r="J9" s="6" t="s">
        <v>6</v>
      </c>
      <c r="K9" s="8" t="s">
        <v>7</v>
      </c>
      <c r="L9" s="6" t="s">
        <v>8</v>
      </c>
    </row>
    <row r="10" ht="19.2" spans="3:12">
      <c r="C10" s="6" t="s">
        <v>9</v>
      </c>
      <c r="D10" s="7">
        <v>35</v>
      </c>
      <c r="E10" s="6" t="s">
        <v>10</v>
      </c>
      <c r="F10" s="6" t="s">
        <v>11</v>
      </c>
      <c r="G10" s="6" t="s">
        <v>4</v>
      </c>
      <c r="H10" s="1"/>
      <c r="I10" s="7">
        <v>70</v>
      </c>
      <c r="J10" s="7">
        <v>0.035</v>
      </c>
      <c r="K10" s="7">
        <v>350</v>
      </c>
      <c r="L10" s="7">
        <f>J10*K10*F12/I10</f>
        <v>0.0875</v>
      </c>
    </row>
    <row r="11" ht="19.2" spans="3:12">
      <c r="C11" s="8" t="s">
        <v>12</v>
      </c>
      <c r="D11" s="7">
        <v>350</v>
      </c>
      <c r="E11" s="6" t="s">
        <v>13</v>
      </c>
      <c r="F11" s="7"/>
      <c r="G11" s="7"/>
      <c r="H11" s="1"/>
      <c r="I11" s="1"/>
      <c r="J11" s="1"/>
      <c r="K11" s="1"/>
      <c r="L11" s="1"/>
    </row>
    <row r="12" ht="15.6" spans="3:12">
      <c r="C12" s="8" t="s">
        <v>14</v>
      </c>
      <c r="D12" s="6" t="s">
        <v>15</v>
      </c>
      <c r="E12" s="7"/>
      <c r="F12" s="7">
        <v>0.5</v>
      </c>
      <c r="G12" s="7"/>
      <c r="H12" s="1"/>
      <c r="I12" s="1"/>
      <c r="J12" s="1"/>
      <c r="K12" s="1"/>
      <c r="L12" s="1"/>
    </row>
    <row r="13" ht="19.2" spans="3:12">
      <c r="C13" s="6" t="s">
        <v>16</v>
      </c>
      <c r="D13" s="6" t="s">
        <v>17</v>
      </c>
      <c r="E13" s="6" t="s">
        <v>13</v>
      </c>
      <c r="F13" s="7"/>
      <c r="G13" s="7"/>
      <c r="H13" s="1"/>
      <c r="I13" s="1"/>
      <c r="J13" s="1"/>
      <c r="K13" s="1"/>
      <c r="L13" s="1"/>
    </row>
    <row r="14" ht="15.6" spans="3:12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ht="15.6" spans="3:12">
      <c r="C15" s="4" t="s">
        <v>18</v>
      </c>
      <c r="D15" s="5"/>
      <c r="E15" s="5"/>
      <c r="F15" s="1"/>
      <c r="G15" s="1"/>
      <c r="H15" s="1"/>
      <c r="I15" s="1"/>
      <c r="J15" s="1"/>
      <c r="K15" s="1"/>
      <c r="L15" s="1"/>
    </row>
    <row r="16" ht="15.6" spans="3:12">
      <c r="C16" s="5"/>
      <c r="D16" s="5"/>
      <c r="E16" s="5"/>
      <c r="F16" s="1"/>
      <c r="G16" s="1"/>
      <c r="H16" s="1"/>
      <c r="I16" s="1"/>
      <c r="J16" s="1"/>
      <c r="K16" s="1"/>
      <c r="L16" s="1"/>
    </row>
    <row r="17" ht="15.6" spans="3:12">
      <c r="C17" s="5"/>
      <c r="D17" s="5"/>
      <c r="E17" s="5"/>
      <c r="F17" s="1"/>
      <c r="G17" s="1"/>
      <c r="H17" s="1"/>
      <c r="I17" s="1"/>
      <c r="J17" s="1"/>
      <c r="K17" s="1"/>
      <c r="L17" s="1"/>
    </row>
    <row r="18" ht="15.6" spans="3:12">
      <c r="C18" s="5"/>
      <c r="D18" s="5"/>
      <c r="E18" s="5"/>
      <c r="F18" s="1"/>
      <c r="G18" s="1"/>
      <c r="H18" s="1"/>
      <c r="I18" s="1"/>
      <c r="J18" s="1"/>
      <c r="K18" s="1"/>
      <c r="L18" s="1"/>
    </row>
    <row r="19" ht="15.6" spans="3:12">
      <c r="C19" s="5"/>
      <c r="D19" s="5"/>
      <c r="E19" s="5"/>
      <c r="F19" s="1"/>
      <c r="G19" s="1"/>
      <c r="H19" s="1"/>
      <c r="I19" s="1"/>
      <c r="J19" s="1"/>
      <c r="K19" s="1"/>
      <c r="L19" s="1"/>
    </row>
    <row r="20" ht="15.6" spans="3:12">
      <c r="C20" s="5"/>
      <c r="D20" s="5"/>
      <c r="E20" s="5"/>
      <c r="F20" s="1"/>
      <c r="G20" s="1"/>
      <c r="H20" s="1"/>
      <c r="I20" s="1"/>
      <c r="J20" s="1"/>
      <c r="K20" s="1"/>
      <c r="L20" s="1"/>
    </row>
    <row r="21" ht="15.6" spans="3:12">
      <c r="C21" s="1"/>
      <c r="D21" s="1"/>
      <c r="E21" s="1"/>
      <c r="F21" s="1"/>
      <c r="G21" s="1"/>
      <c r="H21" s="1"/>
      <c r="I21" s="1"/>
      <c r="J21" s="1"/>
      <c r="K21" s="1"/>
      <c r="L21" s="1"/>
    </row>
  </sheetData>
  <mergeCells count="8">
    <mergeCell ref="C8:G8"/>
    <mergeCell ref="I8:L8"/>
    <mergeCell ref="C15:E15"/>
    <mergeCell ref="C16:E16"/>
    <mergeCell ref="C17:E17"/>
    <mergeCell ref="C18:E18"/>
    <mergeCell ref="C19:E20"/>
    <mergeCell ref="C3:K6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M23"/>
  <sheetViews>
    <sheetView workbookViewId="0">
      <selection activeCell="N16" sqref="N16"/>
    </sheetView>
  </sheetViews>
  <sheetFormatPr defaultColWidth="8.83333333333333" defaultRowHeight="13.8"/>
  <cols>
    <col min="13" max="13" width="9.83333333333333" customWidth="1"/>
  </cols>
  <sheetData>
    <row r="2" ht="15.6" spans="3:13"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4.5" customHeight="1" spans="3:13">
      <c r="C3" s="2" t="s">
        <v>19</v>
      </c>
      <c r="D3" s="3"/>
      <c r="E3" s="3"/>
      <c r="F3" s="3"/>
      <c r="G3" s="3"/>
      <c r="H3" s="3"/>
      <c r="I3" s="3"/>
      <c r="J3" s="3"/>
      <c r="K3" s="1"/>
      <c r="L3" s="1"/>
      <c r="M3" s="1"/>
    </row>
    <row r="4" ht="15.6" spans="3:13">
      <c r="C4" s="3"/>
      <c r="D4" s="3"/>
      <c r="E4" s="3"/>
      <c r="F4" s="3"/>
      <c r="G4" s="3"/>
      <c r="H4" s="3"/>
      <c r="I4" s="3"/>
      <c r="J4" s="3"/>
      <c r="K4" s="1"/>
      <c r="L4" s="1"/>
      <c r="M4" s="1"/>
    </row>
    <row r="5" ht="15.6" spans="3:13"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15.6" spans="3:13">
      <c r="C6" s="4" t="s">
        <v>1</v>
      </c>
      <c r="D6" s="5"/>
      <c r="E6" s="5"/>
      <c r="F6" s="5"/>
      <c r="G6" s="5"/>
      <c r="H6" s="1"/>
      <c r="I6" s="9" t="s">
        <v>2</v>
      </c>
      <c r="J6" s="10"/>
      <c r="K6" s="10"/>
      <c r="L6" s="10"/>
      <c r="M6" s="11"/>
    </row>
    <row r="7" ht="19.2" spans="3:13">
      <c r="C7" s="6" t="s">
        <v>20</v>
      </c>
      <c r="D7" s="7">
        <v>2</v>
      </c>
      <c r="E7" s="6" t="s">
        <v>4</v>
      </c>
      <c r="F7" s="7"/>
      <c r="G7" s="7"/>
      <c r="H7" s="1"/>
      <c r="I7" s="6" t="s">
        <v>21</v>
      </c>
      <c r="J7" s="6" t="s">
        <v>22</v>
      </c>
      <c r="K7" s="6" t="s">
        <v>23</v>
      </c>
      <c r="L7" s="6" t="s">
        <v>24</v>
      </c>
      <c r="M7" s="6" t="s">
        <v>25</v>
      </c>
    </row>
    <row r="8" ht="16.8" spans="3:13">
      <c r="C8" s="6" t="s">
        <v>26</v>
      </c>
      <c r="D8" s="7">
        <v>4</v>
      </c>
      <c r="E8" s="6" t="s">
        <v>27</v>
      </c>
      <c r="F8" s="6" t="s">
        <v>28</v>
      </c>
      <c r="G8" s="6" t="s">
        <v>29</v>
      </c>
      <c r="H8" s="1"/>
      <c r="I8" s="7">
        <v>2</v>
      </c>
      <c r="J8" s="7">
        <v>0.04</v>
      </c>
      <c r="K8" s="7">
        <v>0.02</v>
      </c>
      <c r="L8" s="7">
        <v>0.12</v>
      </c>
      <c r="M8" s="7">
        <f>(I8*D11*(L8^2-K8^2))/(2*J8)</f>
        <v>3.5</v>
      </c>
    </row>
    <row r="9" ht="19.2" spans="3:13">
      <c r="C9" s="6" t="s">
        <v>30</v>
      </c>
      <c r="D9" s="7">
        <v>2</v>
      </c>
      <c r="E9" s="6" t="s">
        <v>27</v>
      </c>
      <c r="F9" s="6" t="s">
        <v>31</v>
      </c>
      <c r="G9" s="6" t="s">
        <v>29</v>
      </c>
      <c r="H9" s="1"/>
      <c r="I9" s="1"/>
      <c r="J9" s="1"/>
      <c r="K9" s="1"/>
      <c r="L9" s="1"/>
      <c r="M9" s="1"/>
    </row>
    <row r="10" ht="19.2" spans="3:13">
      <c r="C10" s="6" t="s">
        <v>32</v>
      </c>
      <c r="D10" s="7">
        <v>12</v>
      </c>
      <c r="E10" s="6" t="s">
        <v>27</v>
      </c>
      <c r="F10" s="6" t="s">
        <v>33</v>
      </c>
      <c r="G10" s="6" t="s">
        <v>29</v>
      </c>
      <c r="H10" s="1"/>
      <c r="I10" s="1"/>
      <c r="J10" s="1"/>
      <c r="K10" s="1"/>
      <c r="L10" s="1"/>
      <c r="M10" s="1"/>
    </row>
    <row r="11" ht="16.8" spans="3:13">
      <c r="C11" s="6" t="s">
        <v>34</v>
      </c>
      <c r="D11" s="7">
        <v>10</v>
      </c>
      <c r="E11" s="6" t="s">
        <v>35</v>
      </c>
      <c r="F11" s="7"/>
      <c r="G11" s="7"/>
      <c r="H11" s="1"/>
      <c r="I11" s="1"/>
      <c r="J11" s="1"/>
      <c r="K11" s="1"/>
      <c r="L11" s="1"/>
      <c r="M11" s="1"/>
    </row>
    <row r="12" ht="15.6" spans="3:13">
      <c r="C12" s="6" t="s">
        <v>36</v>
      </c>
      <c r="D12" s="6" t="s">
        <v>17</v>
      </c>
      <c r="E12" s="6" t="s">
        <v>37</v>
      </c>
      <c r="F12" s="7"/>
      <c r="G12" s="7"/>
      <c r="H12" s="1"/>
      <c r="I12" s="1"/>
      <c r="J12" s="1"/>
      <c r="K12" s="1"/>
      <c r="L12" s="1"/>
      <c r="M12" s="1"/>
    </row>
    <row r="13" ht="15.6" spans="3:1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ht="15.6" spans="3:13">
      <c r="C14" s="4" t="s">
        <v>38</v>
      </c>
      <c r="D14" s="5"/>
      <c r="E14" s="5"/>
      <c r="F14" s="1"/>
      <c r="G14" s="1"/>
      <c r="H14" s="1"/>
      <c r="I14" s="1"/>
      <c r="J14" s="1"/>
      <c r="K14" s="1"/>
      <c r="L14" s="1"/>
      <c r="M14" s="1"/>
    </row>
    <row r="15" ht="15.6" spans="3:13">
      <c r="C15" s="5"/>
      <c r="D15" s="5"/>
      <c r="E15" s="5"/>
      <c r="F15" s="1"/>
      <c r="G15" s="1"/>
      <c r="H15" s="1"/>
      <c r="I15" s="1"/>
      <c r="J15" s="1"/>
      <c r="K15" s="1"/>
      <c r="L15" s="1"/>
      <c r="M15" s="1"/>
    </row>
    <row r="16" ht="15.6" spans="3:13"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</row>
    <row r="17" ht="15.6" spans="3:13">
      <c r="C17" s="5"/>
      <c r="D17" s="5"/>
      <c r="E17" s="5"/>
      <c r="F17" s="1"/>
      <c r="G17" s="1"/>
      <c r="H17" s="1"/>
      <c r="I17" s="1"/>
      <c r="J17" s="1"/>
      <c r="K17" s="1"/>
      <c r="L17" s="1"/>
      <c r="M17" s="1"/>
    </row>
    <row r="18" ht="15.6" spans="3:13">
      <c r="C18" s="5"/>
      <c r="D18" s="5"/>
      <c r="E18" s="5"/>
      <c r="F18" s="1"/>
      <c r="G18" s="1"/>
      <c r="H18" s="1"/>
      <c r="I18" s="1"/>
      <c r="J18" s="1"/>
      <c r="K18" s="1"/>
      <c r="L18" s="1"/>
      <c r="M18" s="1"/>
    </row>
    <row r="19" ht="15.6" spans="3:13">
      <c r="C19" s="5"/>
      <c r="D19" s="5"/>
      <c r="E19" s="5"/>
      <c r="F19" s="1"/>
      <c r="G19" s="1"/>
      <c r="H19" s="1"/>
      <c r="I19" s="1"/>
      <c r="J19" s="1"/>
      <c r="K19" s="1"/>
      <c r="L19" s="1"/>
      <c r="M19" s="1"/>
    </row>
    <row r="20" ht="15.6" spans="3:13">
      <c r="C20" s="5"/>
      <c r="D20" s="5"/>
      <c r="E20" s="5"/>
      <c r="F20" s="1"/>
      <c r="G20" s="1"/>
      <c r="H20" s="1"/>
      <c r="I20" s="1"/>
      <c r="J20" s="1"/>
      <c r="K20" s="1"/>
      <c r="L20" s="1"/>
      <c r="M20" s="1"/>
    </row>
    <row r="21" ht="15.6" spans="3:13">
      <c r="C21" s="5"/>
      <c r="D21" s="5"/>
      <c r="E21" s="5"/>
      <c r="F21" s="1"/>
      <c r="G21" s="1"/>
      <c r="H21" s="1"/>
      <c r="I21" s="1"/>
      <c r="J21" s="1"/>
      <c r="K21" s="1"/>
      <c r="L21" s="1"/>
      <c r="M21" s="1"/>
    </row>
    <row r="22" ht="15.6" spans="3:13">
      <c r="C22" s="5"/>
      <c r="D22" s="5"/>
      <c r="E22" s="5"/>
      <c r="F22" s="1"/>
      <c r="G22" s="1"/>
      <c r="H22" s="1"/>
      <c r="I22" s="1"/>
      <c r="J22" s="1"/>
      <c r="K22" s="1"/>
      <c r="L22" s="1"/>
      <c r="M22" s="1"/>
    </row>
    <row r="23" ht="15.6" spans="3:13"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</sheetData>
  <mergeCells count="9">
    <mergeCell ref="C6:G6"/>
    <mergeCell ref="I6:M6"/>
    <mergeCell ref="C14:E14"/>
    <mergeCell ref="C17:E17"/>
    <mergeCell ref="C18:E18"/>
    <mergeCell ref="C19:E20"/>
    <mergeCell ref="C21:E22"/>
    <mergeCell ref="C3:J4"/>
    <mergeCell ref="C15:E16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I20"/>
  <sheetViews>
    <sheetView tabSelected="1" workbookViewId="0">
      <selection activeCell="M10" sqref="M10"/>
    </sheetView>
  </sheetViews>
  <sheetFormatPr defaultColWidth="8.83333333333333" defaultRowHeight="13.8"/>
  <cols>
    <col min="9" max="9" width="12.8"/>
  </cols>
  <sheetData>
    <row r="2" ht="15.6" spans="3:9">
      <c r="C2" s="1"/>
      <c r="D2" s="1"/>
      <c r="E2" s="1"/>
      <c r="F2" s="1"/>
      <c r="G2" s="1"/>
      <c r="H2" s="1"/>
      <c r="I2" s="1"/>
    </row>
    <row r="3" ht="15.6" spans="3:9">
      <c r="C3" s="2" t="s">
        <v>39</v>
      </c>
      <c r="D3" s="3"/>
      <c r="E3" s="3"/>
      <c r="F3" s="3"/>
      <c r="G3" s="3"/>
      <c r="H3" s="3"/>
      <c r="I3" s="1"/>
    </row>
    <row r="4" ht="15.6" spans="3:9">
      <c r="C4" s="3"/>
      <c r="D4" s="3"/>
      <c r="E4" s="3"/>
      <c r="F4" s="3"/>
      <c r="G4" s="3"/>
      <c r="H4" s="3"/>
      <c r="I4" s="1"/>
    </row>
    <row r="5" ht="15.6" spans="3:9">
      <c r="C5" s="1"/>
      <c r="D5" s="1"/>
      <c r="E5" s="1"/>
      <c r="F5" s="1"/>
      <c r="G5" s="1"/>
      <c r="H5" s="1"/>
      <c r="I5" s="1"/>
    </row>
    <row r="6" ht="15.6" spans="3:9">
      <c r="C6" s="4" t="s">
        <v>1</v>
      </c>
      <c r="D6" s="5"/>
      <c r="E6" s="5"/>
      <c r="F6" s="1"/>
      <c r="G6" s="4" t="s">
        <v>2</v>
      </c>
      <c r="H6" s="5"/>
      <c r="I6" s="5"/>
    </row>
    <row r="7" ht="16.8" spans="3:9">
      <c r="C7" s="6" t="s">
        <v>40</v>
      </c>
      <c r="D7" s="7">
        <v>0.8</v>
      </c>
      <c r="E7" s="6" t="s">
        <v>29</v>
      </c>
      <c r="F7" s="1"/>
      <c r="G7" s="6" t="s">
        <v>41</v>
      </c>
      <c r="H7" s="6" t="s">
        <v>42</v>
      </c>
      <c r="I7" s="6" t="s">
        <v>43</v>
      </c>
    </row>
    <row r="8" ht="19.2" spans="3:9">
      <c r="C8" s="8" t="s">
        <v>44</v>
      </c>
      <c r="D8" s="7">
        <v>0</v>
      </c>
      <c r="E8" s="6" t="s">
        <v>13</v>
      </c>
      <c r="F8" s="1"/>
      <c r="G8" s="7">
        <v>0.8</v>
      </c>
      <c r="H8" s="7">
        <v>9.8</v>
      </c>
      <c r="I8" s="7">
        <f>SQRT(2*H8*G8)</f>
        <v>3.95979797464467</v>
      </c>
    </row>
    <row r="9" ht="16.8" spans="3:9">
      <c r="C9" s="6" t="s">
        <v>34</v>
      </c>
      <c r="D9" s="7">
        <v>9.8</v>
      </c>
      <c r="E9" s="6" t="s">
        <v>35</v>
      </c>
      <c r="F9" s="1"/>
      <c r="G9" s="1"/>
      <c r="H9" s="1"/>
      <c r="I9" s="1"/>
    </row>
    <row r="10" ht="15.6" spans="3:9">
      <c r="C10" s="6" t="s">
        <v>45</v>
      </c>
      <c r="D10" s="6" t="s">
        <v>17</v>
      </c>
      <c r="E10" s="6" t="s">
        <v>13</v>
      </c>
      <c r="F10" s="1"/>
      <c r="G10" s="1"/>
      <c r="H10" s="1"/>
      <c r="I10" s="1"/>
    </row>
    <row r="11" ht="15.6" spans="3:9">
      <c r="C11" s="1"/>
      <c r="D11" s="1"/>
      <c r="E11" s="1"/>
      <c r="F11" s="1"/>
      <c r="G11" s="1"/>
      <c r="H11" s="1"/>
      <c r="I11" s="1"/>
    </row>
    <row r="12" ht="15.6" spans="3:9">
      <c r="C12" s="4" t="s">
        <v>46</v>
      </c>
      <c r="D12" s="5"/>
      <c r="E12" s="5"/>
      <c r="F12" s="1"/>
      <c r="G12" s="1"/>
      <c r="H12" s="1"/>
      <c r="I12" s="1"/>
    </row>
    <row r="13" ht="15.6" spans="3:9">
      <c r="C13" s="5"/>
      <c r="D13" s="5"/>
      <c r="E13" s="5"/>
      <c r="F13" s="1"/>
      <c r="G13" s="1"/>
      <c r="H13" s="1"/>
      <c r="I13" s="1"/>
    </row>
    <row r="14" ht="15.6" spans="3:9">
      <c r="C14" s="5"/>
      <c r="D14" s="5"/>
      <c r="E14" s="5"/>
      <c r="F14" s="1"/>
      <c r="G14" s="1"/>
      <c r="H14" s="1"/>
      <c r="I14" s="1"/>
    </row>
    <row r="15" ht="15.6" spans="3:9">
      <c r="C15" s="5"/>
      <c r="D15" s="5"/>
      <c r="E15" s="5"/>
      <c r="F15" s="1"/>
      <c r="G15" s="1"/>
      <c r="H15" s="1"/>
      <c r="I15" s="1"/>
    </row>
    <row r="16" ht="15.6" spans="3:9">
      <c r="C16" s="5"/>
      <c r="D16" s="5"/>
      <c r="E16" s="5"/>
      <c r="F16" s="1"/>
      <c r="G16" s="1"/>
      <c r="H16" s="1"/>
      <c r="I16" s="1"/>
    </row>
    <row r="17" ht="15.6" spans="3:9">
      <c r="C17" s="5"/>
      <c r="D17" s="5"/>
      <c r="E17" s="5"/>
      <c r="F17" s="1"/>
      <c r="G17" s="1"/>
      <c r="H17" s="1"/>
      <c r="I17" s="1"/>
    </row>
    <row r="18" ht="15.6" spans="3:9">
      <c r="C18" s="5"/>
      <c r="D18" s="5"/>
      <c r="E18" s="5"/>
      <c r="F18" s="1"/>
      <c r="G18" s="1"/>
      <c r="H18" s="1"/>
      <c r="I18" s="1"/>
    </row>
    <row r="19" ht="15.6" spans="3:9">
      <c r="C19" s="5"/>
      <c r="D19" s="5"/>
      <c r="E19" s="5"/>
      <c r="F19" s="1"/>
      <c r="G19" s="1"/>
      <c r="H19" s="1"/>
      <c r="I19" s="1"/>
    </row>
    <row r="20" ht="15.6" spans="3:9">
      <c r="C20" s="1"/>
      <c r="D20" s="1"/>
      <c r="E20" s="1"/>
      <c r="F20" s="1"/>
      <c r="G20" s="1"/>
      <c r="H20" s="1"/>
      <c r="I20" s="1"/>
    </row>
  </sheetData>
  <mergeCells count="9">
    <mergeCell ref="C6:E6"/>
    <mergeCell ref="G6:I6"/>
    <mergeCell ref="C12:E12"/>
    <mergeCell ref="C13:E13"/>
    <mergeCell ref="C16:E16"/>
    <mergeCell ref="C19:E19"/>
    <mergeCell ref="C17:E18"/>
    <mergeCell ref="C3:H4"/>
    <mergeCell ref="C14:E15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1-есеп</vt:lpstr>
      <vt:lpstr>2-есеп</vt:lpstr>
      <vt:lpstr>3-есеп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Нұрайым Жомартбекқызы</dc:creator>
  <cp:lastModifiedBy>Admin</cp:lastModifiedBy>
  <dcterms:created xsi:type="dcterms:W3CDTF">2025-03-29T07:44:00Z</dcterms:created>
  <dcterms:modified xsi:type="dcterms:W3CDTF">2025-06-02T17:19:52Z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96EB8F450C7C473090B1298BF5A0B4D6_12</vt:lpwstr>
  </property>
  <property fmtid="{D5CDD505-2E9C-101B-9397-08002B2CF9AE}" pid="3" name="KSOProductBuildVer">
    <vt:lpwstr>1049-12.2.0.21179</vt:lpwstr>
  </property>
</Properties>
</file>