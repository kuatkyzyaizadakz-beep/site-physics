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Есеп 1" sheetId="1" r:id="rId1"/>
    <sheet name="Есеп 2" sheetId="2" r:id="rId2"/>
    <sheet name="Есеп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<sst xmlns="http://schemas.openxmlformats.org/spreadsheetml/2006/main" count="56" uniqueCount="35">
  <si>
    <t>Белгісіз ғаламшарда массасы 20кг дене бар. Оған әсер ететін ауырлық күшінің мәні 212 Н-ға тең. Еркін түсу үдеуін анықта.</t>
  </si>
  <si>
    <t>Есептеуіш формула</t>
  </si>
  <si>
    <t>Нәтиже кестесі</t>
  </si>
  <si>
    <t>m, кг</t>
  </si>
  <si>
    <t>F, Н</t>
  </si>
  <si>
    <t>g, м/с^2</t>
  </si>
  <si>
    <t>Деректер кестесі</t>
  </si>
  <si>
    <t>Масса</t>
  </si>
  <si>
    <t>m</t>
  </si>
  <si>
    <t>кг</t>
  </si>
  <si>
    <t>Күш</t>
  </si>
  <si>
    <t>F</t>
  </si>
  <si>
    <t>Н</t>
  </si>
  <si>
    <t>Еркін түсу үдеуі</t>
  </si>
  <si>
    <t>g</t>
  </si>
  <si>
    <t>?</t>
  </si>
  <si>
    <t>м/с^2</t>
  </si>
  <si>
    <t>Еркін түскен дене соңғы секундта 45 м жол жүрсе, дененің құлау биіктігін анықта.</t>
  </si>
  <si>
    <t>S,м</t>
  </si>
  <si>
    <t>g,м/c^2</t>
  </si>
  <si>
    <t>t, c</t>
  </si>
  <si>
    <t>h, м</t>
  </si>
  <si>
    <t>Жол</t>
  </si>
  <si>
    <t>S</t>
  </si>
  <si>
    <t>м</t>
  </si>
  <si>
    <t>Бастапқы жылдамдық</t>
  </si>
  <si>
    <t>м/с</t>
  </si>
  <si>
    <t>м/c^2</t>
  </si>
  <si>
    <t>Биіктік</t>
  </si>
  <si>
    <t>h</t>
  </si>
  <si>
    <t>Тереңдігі белгісіз құдыққа тас тасталды. Егер тас 3 секундта түбіне жетсе, құдықтың тереңдігі қандай?</t>
  </si>
  <si>
    <t>g, м/с</t>
  </si>
  <si>
    <t>Уақыт</t>
  </si>
  <si>
    <t>t</t>
  </si>
  <si>
    <t>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</si>
</sst>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119062</xdr:colOff>
      <xdr:row>7</xdr:row>
      <xdr:rowOff>33337</xdr:rowOff>
    </xdr:from>
    <xdr:ext cx="434029" cy="308172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936115" y="1320800"/>
              <a:ext cx="434340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936115" y="1320800"/>
              <a:ext cx="434340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𝐹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461962</xdr:colOff>
      <xdr:row>7</xdr:row>
      <xdr:rowOff>42862</xdr:rowOff>
    </xdr:from>
    <xdr:ext cx="882293" cy="313686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673225" y="1322705"/>
              <a:ext cx="882015" cy="313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673225" y="1322705"/>
              <a:ext cx="882015" cy="313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𝑆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en-US" sz="1100" b="0">
                  <a:latin typeface="Cambria Math" panose="02040503050406030204" pitchFamily="18" charset="0"/>
                </a:rPr>
                <a:t>(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)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61912</xdr:colOff>
      <xdr:row>9</xdr:row>
      <xdr:rowOff>14287</xdr:rowOff>
    </xdr:from>
    <xdr:ext cx="514051" cy="330999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970405" y="1659890"/>
              <a:ext cx="514350" cy="3308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970405" y="1659890"/>
              <a:ext cx="514350" cy="3308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ℎ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en-US" sz="1100" b="0">
                  <a:latin typeface="Cambria Math" panose="02040503050406030204" pitchFamily="18" charset="0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23812</xdr:colOff>
      <xdr:row>15</xdr:row>
      <xdr:rowOff>14287</xdr:rowOff>
    </xdr:from>
    <xdr:ext cx="175048" cy="17222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652395" y="2757170"/>
              <a:ext cx="17526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652395" y="2757170"/>
              <a:ext cx="17526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45508</xdr:colOff>
      <xdr:row>6</xdr:row>
      <xdr:rowOff>183092</xdr:rowOff>
    </xdr:from>
    <xdr:ext cx="453779" cy="164819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6308725" y="1280160"/>
              <a:ext cx="45402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ru-RU" sz="1100" b="0" i="1">
                        <a:latin typeface="Cambria Math" panose="02040503050406030204" pitchFamily="18" charset="0"/>
                      </a:rPr>
                      <m:t>м/с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6308725" y="1280160"/>
              <a:ext cx="45402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, </a:t>
              </a:r>
              <a:r>
                <a:rPr lang="ru-RU" sz="1100" b="0">
                  <a:latin typeface="Cambria Math" panose="02040503050406030204" pitchFamily="18" charset="0"/>
                </a:rPr>
                <a:t>м/с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80962</xdr:colOff>
      <xdr:row>7</xdr:row>
      <xdr:rowOff>23812</xdr:rowOff>
    </xdr:from>
    <xdr:ext cx="514051" cy="330999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2012315" y="1303655"/>
              <a:ext cx="514350" cy="3308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2012315" y="1303655"/>
              <a:ext cx="514350" cy="3308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ℎ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en-US" sz="1100" b="0">
                  <a:latin typeface="Cambria Math" panose="02040503050406030204" pitchFamily="18" charset="0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14287</xdr:colOff>
      <xdr:row>13</xdr:row>
      <xdr:rowOff>23812</xdr:rowOff>
    </xdr:from>
    <xdr:ext cx="175048" cy="164607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2677160" y="2400935"/>
              <a:ext cx="17526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2677160" y="2400935"/>
              <a:ext cx="17526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48815</xdr:colOff>
      <xdr:row>7</xdr:row>
      <xdr:rowOff>25004</xdr:rowOff>
    </xdr:from>
    <xdr:ext cx="453779" cy="16460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6951980" y="1304925"/>
              <a:ext cx="45402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ru-RU" sz="1100" b="0" i="1">
                        <a:latin typeface="Cambria Math" panose="02040503050406030204" pitchFamily="18" charset="0"/>
                      </a:rPr>
                      <m:t>м/с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6951980" y="1304925"/>
              <a:ext cx="45402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,</a:t>
              </a:r>
              <a:r>
                <a:rPr lang="ru-RU" sz="1100" b="0">
                  <a:latin typeface="Cambria Math" panose="02040503050406030204" pitchFamily="18" charset="0"/>
                </a:rPr>
                <a:t>м/с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M15"/>
  <sheetViews>
    <sheetView tabSelected="1" workbookViewId="0">
      <selection activeCell="M15" sqref="M15"/>
    </sheetView>
  </sheetViews>
  <sheetFormatPr defaultColWidth="8.83333333333333" defaultRowHeight="14.4"/>
  <sheetData>
    <row r="3" ht="15" customHeight="1" spans="3:9">
      <c r="C3" s="7" t="s">
        <v>0</v>
      </c>
      <c r="D3" s="7"/>
      <c r="E3" s="7"/>
      <c r="F3" s="7"/>
      <c r="G3" s="7"/>
      <c r="H3" s="7"/>
      <c r="I3" s="7"/>
    </row>
    <row r="4" spans="3:9">
      <c r="C4" s="7"/>
      <c r="D4" s="7"/>
      <c r="E4" s="7"/>
      <c r="F4" s="7"/>
      <c r="G4" s="7"/>
      <c r="H4" s="7"/>
      <c r="I4" s="7"/>
    </row>
    <row r="7" spans="3:13">
      <c r="C7" s="2" t="s">
        <v>1</v>
      </c>
      <c r="D7" s="2"/>
      <c r="E7" s="2"/>
      <c r="K7" s="4" t="s">
        <v>2</v>
      </c>
      <c r="L7" s="6"/>
      <c r="M7" s="5"/>
    </row>
    <row r="8" spans="3:13">
      <c r="C8" s="2"/>
      <c r="D8" s="2"/>
      <c r="E8" s="2"/>
      <c r="K8" s="3" t="s">
        <v>3</v>
      </c>
      <c r="L8" s="3" t="s">
        <v>4</v>
      </c>
      <c r="M8" s="3" t="s">
        <v>5</v>
      </c>
    </row>
    <row r="9" spans="3:13">
      <c r="C9" s="2"/>
      <c r="D9" s="2"/>
      <c r="E9" s="2"/>
      <c r="K9" s="3">
        <v>20</v>
      </c>
      <c r="L9" s="3">
        <v>212</v>
      </c>
      <c r="M9" s="3">
        <f>L9/K9</f>
        <v>10.6</v>
      </c>
    </row>
    <row r="12" spans="3:7">
      <c r="C12" s="2" t="s">
        <v>6</v>
      </c>
      <c r="D12" s="2"/>
      <c r="E12" s="2"/>
      <c r="F12" s="2"/>
      <c r="G12" s="2"/>
    </row>
    <row r="13" spans="3:7">
      <c r="C13" s="2" t="s">
        <v>7</v>
      </c>
      <c r="D13" s="2"/>
      <c r="E13" s="3" t="s">
        <v>8</v>
      </c>
      <c r="F13" s="3">
        <v>20</v>
      </c>
      <c r="G13" s="3" t="s">
        <v>9</v>
      </c>
    </row>
    <row r="14" spans="3:7">
      <c r="C14" s="2" t="s">
        <v>10</v>
      </c>
      <c r="D14" s="2"/>
      <c r="E14" s="3" t="s">
        <v>11</v>
      </c>
      <c r="F14" s="3">
        <v>212</v>
      </c>
      <c r="G14" s="3" t="s">
        <v>12</v>
      </c>
    </row>
    <row r="15" spans="3:7">
      <c r="C15" s="2" t="s">
        <v>13</v>
      </c>
      <c r="D15" s="2"/>
      <c r="E15" s="3" t="s">
        <v>14</v>
      </c>
      <c r="F15" s="3" t="s">
        <v>15</v>
      </c>
      <c r="G15" s="3" t="s">
        <v>16</v>
      </c>
    </row>
  </sheetData>
  <mergeCells count="8">
    <mergeCell ref="C7:E7"/>
    <mergeCell ref="K7:M7"/>
    <mergeCell ref="C12:G12"/>
    <mergeCell ref="C13:D13"/>
    <mergeCell ref="C14:D14"/>
    <mergeCell ref="C15:D15"/>
    <mergeCell ref="C3:I4"/>
    <mergeCell ref="C8:E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N18"/>
  <sheetViews>
    <sheetView zoomScale="90" zoomScaleNormal="90" workbookViewId="0">
      <selection activeCell="C16" sqref="C16:D18"/>
    </sheetView>
  </sheetViews>
  <sheetFormatPr defaultColWidth="8.83333333333333" defaultRowHeight="14.4"/>
  <cols>
    <col min="3" max="3" width="10.1666666666667" customWidth="1"/>
    <col min="4" max="4" width="10.5" customWidth="1"/>
  </cols>
  <sheetData>
    <row r="3" spans="3:8">
      <c r="C3" s="1" t="s">
        <v>17</v>
      </c>
      <c r="D3" s="1"/>
      <c r="E3" s="1"/>
      <c r="F3" s="1"/>
      <c r="G3" s="1"/>
      <c r="H3" s="1"/>
    </row>
    <row r="4" spans="3:8">
      <c r="C4" s="1"/>
      <c r="D4" s="1"/>
      <c r="E4" s="1"/>
      <c r="F4" s="1"/>
      <c r="G4" s="1"/>
      <c r="H4" s="1"/>
    </row>
    <row r="7" spans="3:14">
      <c r="C7" s="2" t="s">
        <v>1</v>
      </c>
      <c r="D7" s="2"/>
      <c r="E7" s="2"/>
      <c r="J7" s="2" t="s">
        <v>2</v>
      </c>
      <c r="K7" s="2"/>
      <c r="L7" s="2"/>
      <c r="M7" s="2"/>
      <c r="N7" s="2"/>
    </row>
    <row r="8" spans="3:14">
      <c r="C8" s="2"/>
      <c r="D8" s="2"/>
      <c r="E8" s="2"/>
      <c r="J8" s="3" t="s">
        <v>18</v>
      </c>
      <c r="K8" s="3"/>
      <c r="L8" s="3" t="s">
        <v>19</v>
      </c>
      <c r="M8" s="3" t="s">
        <v>20</v>
      </c>
      <c r="N8" s="3" t="s">
        <v>21</v>
      </c>
    </row>
    <row r="9" spans="3:14">
      <c r="C9" s="2"/>
      <c r="D9" s="2"/>
      <c r="E9" s="2"/>
      <c r="J9" s="3">
        <v>45</v>
      </c>
      <c r="K9" s="3">
        <v>0</v>
      </c>
      <c r="L9" s="3">
        <v>10</v>
      </c>
      <c r="M9" s="3">
        <f>0.5*((2*J9/L9)+1)</f>
        <v>5</v>
      </c>
      <c r="N9" s="3">
        <f>L9*M9*M9/2</f>
        <v>125</v>
      </c>
    </row>
    <row r="10" spans="3:5">
      <c r="C10" s="2"/>
      <c r="D10" s="2"/>
      <c r="E10" s="2"/>
    </row>
    <row r="11" spans="3:5">
      <c r="C11" s="2"/>
      <c r="D11" s="2"/>
      <c r="E11" s="2"/>
    </row>
    <row r="14" spans="3:7">
      <c r="C14" s="2" t="s">
        <v>6</v>
      </c>
      <c r="D14" s="2"/>
      <c r="E14" s="2"/>
      <c r="F14" s="2"/>
      <c r="G14" s="2"/>
    </row>
    <row r="15" spans="3:7">
      <c r="C15" s="2" t="s">
        <v>22</v>
      </c>
      <c r="D15" s="2"/>
      <c r="E15" s="3" t="s">
        <v>23</v>
      </c>
      <c r="F15" s="3">
        <v>45</v>
      </c>
      <c r="G15" s="3" t="s">
        <v>24</v>
      </c>
    </row>
    <row r="16" spans="3:7">
      <c r="C16" s="2" t="s">
        <v>25</v>
      </c>
      <c r="D16" s="2"/>
      <c r="E16" s="3"/>
      <c r="F16" s="3">
        <v>0</v>
      </c>
      <c r="G16" s="3" t="s">
        <v>26</v>
      </c>
    </row>
    <row r="17" spans="3:7">
      <c r="C17" s="2" t="s">
        <v>13</v>
      </c>
      <c r="D17" s="2"/>
      <c r="E17" s="3" t="s">
        <v>14</v>
      </c>
      <c r="F17" s="3">
        <v>10</v>
      </c>
      <c r="G17" s="3" t="s">
        <v>27</v>
      </c>
    </row>
    <row r="18" spans="3:7">
      <c r="C18" s="2" t="s">
        <v>28</v>
      </c>
      <c r="D18" s="2"/>
      <c r="E18" s="3" t="s">
        <v>29</v>
      </c>
      <c r="F18" s="3" t="s">
        <v>15</v>
      </c>
      <c r="G18" s="3" t="s">
        <v>24</v>
      </c>
    </row>
  </sheetData>
  <mergeCells count="10">
    <mergeCell ref="C7:E7"/>
    <mergeCell ref="J7:N7"/>
    <mergeCell ref="C14:G14"/>
    <mergeCell ref="C15:D15"/>
    <mergeCell ref="C16:D16"/>
    <mergeCell ref="C17:D17"/>
    <mergeCell ref="C18:D18"/>
    <mergeCell ref="C3:H4"/>
    <mergeCell ref="C8:E9"/>
    <mergeCell ref="C10:E11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M16"/>
  <sheetViews>
    <sheetView zoomScale="90" zoomScaleNormal="90" workbookViewId="0">
      <selection activeCell="F24" sqref="F24"/>
    </sheetView>
  </sheetViews>
  <sheetFormatPr defaultColWidth="8.83333333333333" defaultRowHeight="14.4"/>
  <cols>
    <col min="3" max="3" width="10.5" customWidth="1"/>
    <col min="4" max="4" width="10.6666666666667" customWidth="1"/>
  </cols>
  <sheetData>
    <row r="3" spans="3:8">
      <c r="C3" s="1" t="s">
        <v>30</v>
      </c>
      <c r="D3" s="1"/>
      <c r="E3" s="1"/>
      <c r="F3" s="1"/>
      <c r="G3" s="1"/>
      <c r="H3" s="1"/>
    </row>
    <row r="4" spans="3:8">
      <c r="C4" s="1"/>
      <c r="D4" s="1"/>
      <c r="E4" s="1"/>
      <c r="F4" s="1"/>
      <c r="G4" s="1"/>
      <c r="H4" s="1"/>
    </row>
    <row r="7" spans="3:13">
      <c r="C7" s="2" t="s">
        <v>1</v>
      </c>
      <c r="D7" s="2"/>
      <c r="E7" s="2"/>
      <c r="J7" s="4" t="s">
        <v>2</v>
      </c>
      <c r="K7" s="6"/>
      <c r="L7" s="6"/>
      <c r="M7" s="5"/>
    </row>
    <row r="8" spans="3:13">
      <c r="C8" s="2"/>
      <c r="D8" s="2"/>
      <c r="E8" s="2"/>
      <c r="J8" s="3" t="s">
        <v>20</v>
      </c>
      <c r="K8" s="3" t="s">
        <v>31</v>
      </c>
      <c r="L8" s="3"/>
      <c r="M8" s="3" t="s">
        <v>29</v>
      </c>
    </row>
    <row r="9" spans="3:13">
      <c r="C9" s="2"/>
      <c r="D9" s="2"/>
      <c r="E9" s="2"/>
      <c r="J9" s="3">
        <v>3</v>
      </c>
      <c r="K9" s="3">
        <v>9.8</v>
      </c>
      <c r="L9" s="3">
        <v>0</v>
      </c>
      <c r="M9" s="3">
        <f>K9*J9*J9/2</f>
        <v>44.1</v>
      </c>
    </row>
    <row r="12" spans="3:7">
      <c r="C12" s="2" t="s">
        <v>6</v>
      </c>
      <c r="D12" s="2"/>
      <c r="E12" s="2"/>
      <c r="F12" s="2"/>
      <c r="G12" s="2"/>
    </row>
    <row r="13" spans="3:7">
      <c r="C13" s="2" t="s">
        <v>32</v>
      </c>
      <c r="D13" s="2"/>
      <c r="E13" s="3" t="s">
        <v>33</v>
      </c>
      <c r="F13" s="3">
        <v>3</v>
      </c>
      <c r="G13" s="3" t="s">
        <v>34</v>
      </c>
    </row>
    <row r="14" spans="3:7">
      <c r="C14" s="2" t="s">
        <v>25</v>
      </c>
      <c r="D14" s="2"/>
      <c r="E14" s="3"/>
      <c r="F14" s="3">
        <v>0</v>
      </c>
      <c r="G14" s="3" t="s">
        <v>26</v>
      </c>
    </row>
    <row r="15" spans="3:7">
      <c r="C15" s="4" t="s">
        <v>13</v>
      </c>
      <c r="D15" s="5"/>
      <c r="E15" s="3" t="s">
        <v>14</v>
      </c>
      <c r="F15" s="3">
        <v>9.8</v>
      </c>
      <c r="G15" s="3" t="s">
        <v>26</v>
      </c>
    </row>
    <row r="16" spans="3:7">
      <c r="C16" s="2" t="s">
        <v>28</v>
      </c>
      <c r="D16" s="2"/>
      <c r="E16" s="3" t="s">
        <v>29</v>
      </c>
      <c r="F16" s="3" t="s">
        <v>15</v>
      </c>
      <c r="G16" s="3" t="s">
        <v>24</v>
      </c>
    </row>
  </sheetData>
  <mergeCells count="9">
    <mergeCell ref="C7:E7"/>
    <mergeCell ref="J7:M7"/>
    <mergeCell ref="C12:G12"/>
    <mergeCell ref="C13:D13"/>
    <mergeCell ref="C14:D14"/>
    <mergeCell ref="C15:D15"/>
    <mergeCell ref="C16:D16"/>
    <mergeCell ref="C3:H4"/>
    <mergeCell ref="C8:E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SPecialiST RePack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Есеп 1</vt:lpstr>
      <vt:lpstr>Есеп 2</vt:lpstr>
      <vt:lpstr>Есеп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Taiman</dc:creator>
  <cp:lastModifiedBy>Admin</cp:lastModifiedBy>
  <dcterms:created xsi:type="dcterms:W3CDTF">2025-04-16T05:15:00Z</dcterms:created>
  <dcterms:modified xsi:type="dcterms:W3CDTF">2025-06-01T19:46:04Z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261F919B6F58422E91C1E514DFABD022_12</vt:lpwstr>
  </property>
  <property fmtid="{D5CDD505-2E9C-101B-9397-08002B2CF9AE}" pid="3" name="KSOProductBuildVer">
    <vt:lpwstr>1049-12.2.0.21179</vt:lpwstr>
  </property>
</Properties>
</file>