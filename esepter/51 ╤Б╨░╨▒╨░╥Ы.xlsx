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<sst xmlns="http://schemas.openxmlformats.org/spreadsheetml/2006/main" count="25" uniqueCount="20">
  <si>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Жиілігі 510 Гц дыбыс көзінен толқын ауада 340 м/с жылдамдықпен таралады. Толқын ұзындығын табыңыз.</t>
  </si>
  <si>
    <t>Есептеуіш формула</t>
  </si>
  <si>
    <t>Нәтиже кестесі</t>
  </si>
  <si>
    <t>Деректер кестесі</t>
  </si>
  <si>
    <t>Жиілік</t>
  </si>
  <si>
    <t>Гц</t>
  </si>
  <si>
    <t>Жылдамдық</t>
  </si>
  <si>
    <t>м/с</t>
  </si>
  <si>
    <t>Толқын үзындығы</t>
  </si>
  <si>
    <t>?</t>
  </si>
  <si>
    <t>м</t>
  </si>
  <si>
    <t>Ұзындығы 1,5 м математикалық маятниктің Жер бетіндегі және Айдағы           тербеліс периодтарының қатынастарын анықтаңыз (g_ж=9,8 м/с^2, g_а=1,62 м/с^2).</t>
  </si>
  <si>
    <t>Есептеуіш  формула</t>
  </si>
  <si>
    <t>l, м</t>
  </si>
  <si>
    <t>Ұзындық</t>
  </si>
  <si>
    <t>l</t>
  </si>
  <si>
    <t>Жердің еркін түсу үдеуі</t>
  </si>
  <si>
    <t>м/с^2</t>
  </si>
  <si>
    <t>Айдың еркін түсу үдеуі</t>
  </si>
  <si>
    <t>Периодтардың қатынасы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</si>
</sst>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128587</xdr:colOff>
      <xdr:row>7</xdr:row>
      <xdr:rowOff>42862</xdr:rowOff>
    </xdr:from>
    <xdr:ext cx="363176" cy="311763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979930" y="1421765"/>
              <a:ext cx="363220" cy="311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⋋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979930" y="1421765"/>
              <a:ext cx="363220" cy="311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⋋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𝑣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23812</xdr:colOff>
      <xdr:row>13</xdr:row>
      <xdr:rowOff>14287</xdr:rowOff>
    </xdr:from>
    <xdr:ext cx="11766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492375" y="2581910"/>
              <a:ext cx="1174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492375" y="2581910"/>
              <a:ext cx="1174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14287</xdr:colOff>
      <xdr:row>12</xdr:row>
      <xdr:rowOff>23812</xdr:rowOff>
    </xdr:from>
    <xdr:ext cx="112723" cy="16460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482850" y="2393315"/>
              <a:ext cx="11303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482850" y="2393315"/>
              <a:ext cx="11303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23812</xdr:colOff>
      <xdr:row>14</xdr:row>
      <xdr:rowOff>4762</xdr:rowOff>
    </xdr:from>
    <xdr:ext cx="13279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2492375" y="2770505"/>
              <a:ext cx="13271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⋋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2492375" y="2770505"/>
              <a:ext cx="13271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⋋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36909</xdr:colOff>
      <xdr:row>7</xdr:row>
      <xdr:rowOff>1191</xdr:rowOff>
    </xdr:from>
    <xdr:ext cx="320922" cy="172227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5591810" y="1379855"/>
              <a:ext cx="32067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Гц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5591810" y="1379855"/>
              <a:ext cx="32067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r>
                <a:rPr lang="en-US" sz="1100" b="0">
                  <a:latin typeface="Cambria Math" panose="02040503050406030204" pitchFamily="18" charset="0"/>
                </a:rPr>
                <a:t>, Гц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36909</xdr:colOff>
      <xdr:row>7</xdr:row>
      <xdr:rowOff>13097</xdr:rowOff>
    </xdr:from>
    <xdr:ext cx="39639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6209030" y="1391920"/>
              <a:ext cx="3962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м/с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6209030" y="1391920"/>
              <a:ext cx="3962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, м/с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48816</xdr:colOff>
      <xdr:row>7</xdr:row>
      <xdr:rowOff>13097</xdr:rowOff>
    </xdr:from>
    <xdr:ext cx="28014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6837680" y="1391920"/>
              <a:ext cx="28067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⋋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м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6837680" y="1391920"/>
              <a:ext cx="28067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⋋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, 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128587</xdr:colOff>
      <xdr:row>7</xdr:row>
      <xdr:rowOff>42862</xdr:rowOff>
    </xdr:from>
    <xdr:ext cx="363176" cy="311763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1979930" y="1421765"/>
              <a:ext cx="363220" cy="311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⋋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1979930" y="1421765"/>
              <a:ext cx="363220" cy="311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⋋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𝑣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23812</xdr:colOff>
      <xdr:row>13</xdr:row>
      <xdr:rowOff>14287</xdr:rowOff>
    </xdr:from>
    <xdr:ext cx="11766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2492375" y="2581910"/>
              <a:ext cx="1174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2492375" y="2581910"/>
              <a:ext cx="1174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14287</xdr:colOff>
      <xdr:row>12</xdr:row>
      <xdr:rowOff>23812</xdr:rowOff>
    </xdr:from>
    <xdr:ext cx="112723" cy="164607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10"/>
            <xdr:cNvSpPr txBox="1"/>
          </xdr:nvSpPr>
          <xdr:spPr>
            <a:xfrm>
              <a:off x="2482850" y="2393315"/>
              <a:ext cx="11303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1" name="TextBox 10"/>
            <xdr:cNvSpPr txBox="1"/>
          </xdr:nvSpPr>
          <xdr:spPr>
            <a:xfrm>
              <a:off x="2482850" y="2393315"/>
              <a:ext cx="11303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23812</xdr:colOff>
      <xdr:row>14</xdr:row>
      <xdr:rowOff>4762</xdr:rowOff>
    </xdr:from>
    <xdr:ext cx="13279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11"/>
            <xdr:cNvSpPr txBox="1"/>
          </xdr:nvSpPr>
          <xdr:spPr>
            <a:xfrm>
              <a:off x="2492375" y="2770505"/>
              <a:ext cx="13271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⋋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2" name="TextBox 11"/>
            <xdr:cNvSpPr txBox="1"/>
          </xdr:nvSpPr>
          <xdr:spPr>
            <a:xfrm>
              <a:off x="2492375" y="2770505"/>
              <a:ext cx="13271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⋋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36909</xdr:colOff>
      <xdr:row>7</xdr:row>
      <xdr:rowOff>1191</xdr:rowOff>
    </xdr:from>
    <xdr:ext cx="320922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12"/>
            <xdr:cNvSpPr txBox="1"/>
          </xdr:nvSpPr>
          <xdr:spPr>
            <a:xfrm>
              <a:off x="5591810" y="1379855"/>
              <a:ext cx="32067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Гц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3" name="TextBox 12"/>
            <xdr:cNvSpPr txBox="1"/>
          </xdr:nvSpPr>
          <xdr:spPr>
            <a:xfrm>
              <a:off x="5591810" y="1379855"/>
              <a:ext cx="32067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r>
                <a:rPr lang="en-US" sz="1100" b="0">
                  <a:latin typeface="Cambria Math" panose="02040503050406030204" pitchFamily="18" charset="0"/>
                </a:rPr>
                <a:t>, Гц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36909</xdr:colOff>
      <xdr:row>7</xdr:row>
      <xdr:rowOff>13097</xdr:rowOff>
    </xdr:from>
    <xdr:ext cx="39639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13"/>
            <xdr:cNvSpPr txBox="1"/>
          </xdr:nvSpPr>
          <xdr:spPr>
            <a:xfrm>
              <a:off x="6209030" y="1391920"/>
              <a:ext cx="3962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м/с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4" name="TextBox 13"/>
            <xdr:cNvSpPr txBox="1"/>
          </xdr:nvSpPr>
          <xdr:spPr>
            <a:xfrm>
              <a:off x="6209030" y="1391920"/>
              <a:ext cx="3962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, м/с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48816</xdr:colOff>
      <xdr:row>7</xdr:row>
      <xdr:rowOff>13097</xdr:rowOff>
    </xdr:from>
    <xdr:ext cx="28014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5" name="TextBox 14"/>
            <xdr:cNvSpPr txBox="1"/>
          </xdr:nvSpPr>
          <xdr:spPr>
            <a:xfrm>
              <a:off x="6837680" y="1391920"/>
              <a:ext cx="28067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⋋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м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5" name="TextBox 14"/>
            <xdr:cNvSpPr txBox="1"/>
          </xdr:nvSpPr>
          <xdr:spPr>
            <a:xfrm>
              <a:off x="6837680" y="1391920"/>
              <a:ext cx="28067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⋋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, м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109537</xdr:colOff>
      <xdr:row>8</xdr:row>
      <xdr:rowOff>23812</xdr:rowOff>
    </xdr:from>
    <xdr:ext cx="472694" cy="336833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960880" y="1577975"/>
              <a:ext cx="472440" cy="336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T=2</a:t>
              </a:r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𝜋</m:t>
                  </m:r>
                  <m:rad>
                    <m:radPr>
                      <m:degHide m:val="on"/>
                      <m:ctrlPr>
                        <a:rPr lang="en-US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𝑙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𝑔</m:t>
                          </m:r>
                        </m:den>
                      </m:f>
                    </m:e>
                  </m:rad>
                </m:oMath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960880" y="1577975"/>
              <a:ext cx="472440" cy="336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T=2</a:t>
              </a:r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𝑙</a:t>
              </a:r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𝑔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252412</xdr:colOff>
      <xdr:row>10</xdr:row>
      <xdr:rowOff>42862</xdr:rowOff>
    </xdr:from>
    <xdr:ext cx="194797" cy="329342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103755" y="1993265"/>
              <a:ext cx="194945" cy="329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а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103755" y="1993265"/>
              <a:ext cx="194945" cy="329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а</a:t>
              </a:r>
              <a:r>
                <a:rPr lang="ru-RU" sz="110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4762</xdr:colOff>
      <xdr:row>15</xdr:row>
      <xdr:rowOff>166687</xdr:rowOff>
    </xdr:from>
    <xdr:ext cx="192680" cy="16460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3090545" y="3107690"/>
              <a:ext cx="19240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ж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3090545" y="3107690"/>
              <a:ext cx="19240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ru-RU" sz="1100" b="0">
                  <a:latin typeface="Cambria Math" panose="02040503050406030204" pitchFamily="18" charset="0"/>
                </a:rPr>
                <a:t>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4762</xdr:colOff>
      <xdr:row>16</xdr:row>
      <xdr:rowOff>157162</xdr:rowOff>
    </xdr:from>
    <xdr:ext cx="169470" cy="16460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3090545" y="3296285"/>
              <a:ext cx="16954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а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3090545" y="3296285"/>
              <a:ext cx="16954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ru-RU" sz="1100" b="0">
                  <a:latin typeface="Cambria Math" panose="02040503050406030204" pitchFamily="18" charset="0"/>
                </a:rPr>
                <a:t>а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23812</xdr:colOff>
      <xdr:row>18</xdr:row>
      <xdr:rowOff>14287</xdr:rowOff>
    </xdr:from>
    <xdr:ext cx="41261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3109595" y="3549650"/>
              <a:ext cx="4127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а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3109595" y="3549650"/>
              <a:ext cx="4127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а</a:t>
              </a:r>
              <a:r>
                <a:rPr lang="ru-RU" sz="1100">
                  <a:latin typeface="Cambria Math" panose="02040503050406030204" pitchFamily="18" charset="0"/>
                </a:rPr>
                <a:t>∕</a:t>
              </a:r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513159</xdr:colOff>
      <xdr:row>12</xdr:row>
      <xdr:rowOff>108347</xdr:rowOff>
    </xdr:from>
    <xdr:ext cx="65" cy="164607"/>
    <xdr:sp>
      <xdr:nvSpPr>
        <xdr:cNvPr id="7" name="TextBox 6"/>
        <xdr:cNvSpPr txBox="1"/>
      </xdr:nvSpPr>
      <xdr:spPr>
        <a:xfrm>
          <a:off x="4833620" y="2454910"/>
          <a:ext cx="0" cy="164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48815</xdr:colOff>
      <xdr:row>8</xdr:row>
      <xdr:rowOff>13097</xdr:rowOff>
    </xdr:from>
    <xdr:ext cx="62760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6837680" y="1567180"/>
              <a:ext cx="62801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ж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м/с^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6837680" y="1567180"/>
              <a:ext cx="62801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ru-RU" sz="1100" b="0">
                  <a:latin typeface="Cambria Math" panose="02040503050406030204" pitchFamily="18" charset="0"/>
                </a:rPr>
                <a:t>ж</a:t>
              </a:r>
              <a:r>
                <a:rPr lang="en-US" sz="1100" b="0">
                  <a:latin typeface="Cambria Math" panose="02040503050406030204" pitchFamily="18" charset="0"/>
                </a:rPr>
                <a:t>, м/с^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1190</xdr:colOff>
      <xdr:row>8</xdr:row>
      <xdr:rowOff>1190</xdr:rowOff>
    </xdr:from>
    <xdr:ext cx="604396" cy="172227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7582535" y="1555115"/>
              <a:ext cx="60452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а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м/с^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7582535" y="1555115"/>
              <a:ext cx="60452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ru-RU" sz="1100" b="0">
                  <a:latin typeface="Cambria Math" panose="02040503050406030204" pitchFamily="18" charset="0"/>
                </a:rPr>
                <a:t>а</a:t>
              </a:r>
              <a:r>
                <a:rPr lang="en-US" sz="1100" b="0">
                  <a:latin typeface="Cambria Math" panose="02040503050406030204" pitchFamily="18" charset="0"/>
                </a:rPr>
                <a:t>, м/с^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513159</xdr:colOff>
      <xdr:row>12</xdr:row>
      <xdr:rowOff>108347</xdr:rowOff>
    </xdr:from>
    <xdr:ext cx="65" cy="164607"/>
    <xdr:sp>
      <xdr:nvSpPr>
        <xdr:cNvPr id="10" name="TextBox 9"/>
        <xdr:cNvSpPr txBox="1"/>
      </xdr:nvSpPr>
      <xdr:spPr>
        <a:xfrm>
          <a:off x="4833620" y="2454910"/>
          <a:ext cx="0" cy="164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48816</xdr:colOff>
      <xdr:row>8</xdr:row>
      <xdr:rowOff>13097</xdr:rowOff>
    </xdr:from>
    <xdr:ext cx="286232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10"/>
            <xdr:cNvSpPr txBox="1"/>
          </xdr:nvSpPr>
          <xdr:spPr>
            <a:xfrm>
              <a:off x="8247380" y="1567180"/>
              <a:ext cx="2863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а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1" name="TextBox 10"/>
            <xdr:cNvSpPr txBox="1"/>
          </xdr:nvSpPr>
          <xdr:spPr>
            <a:xfrm>
              <a:off x="8247380" y="1567180"/>
              <a:ext cx="2863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а</a:t>
              </a:r>
              <a:r>
                <a:rPr lang="en-US" sz="1100" b="0">
                  <a:latin typeface="Cambria Math" panose="02040503050406030204" pitchFamily="18" charset="0"/>
                </a:rPr>
                <a:t>, 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14</xdr:col>
      <xdr:colOff>25002</xdr:colOff>
      <xdr:row>8</xdr:row>
      <xdr:rowOff>1191</xdr:rowOff>
    </xdr:from>
    <xdr:ext cx="30944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11"/>
            <xdr:cNvSpPr txBox="1"/>
          </xdr:nvSpPr>
          <xdr:spPr>
            <a:xfrm>
              <a:off x="9206865" y="1555115"/>
              <a:ext cx="30924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Т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ж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2" name="TextBox 11"/>
            <xdr:cNvSpPr txBox="1"/>
          </xdr:nvSpPr>
          <xdr:spPr>
            <a:xfrm>
              <a:off x="9206865" y="1555115"/>
              <a:ext cx="30924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ж</a:t>
              </a:r>
              <a:r>
                <a:rPr lang="en-US" sz="1100" b="0">
                  <a:latin typeface="Cambria Math" panose="02040503050406030204" pitchFamily="18" charset="0"/>
                </a:rPr>
                <a:t>, 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15</xdr:col>
      <xdr:colOff>25003</xdr:colOff>
      <xdr:row>8</xdr:row>
      <xdr:rowOff>13097</xdr:rowOff>
    </xdr:from>
    <xdr:ext cx="41261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12"/>
            <xdr:cNvSpPr txBox="1"/>
          </xdr:nvSpPr>
          <xdr:spPr>
            <a:xfrm>
              <a:off x="10189845" y="1567180"/>
              <a:ext cx="4127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а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3" name="TextBox 12"/>
            <xdr:cNvSpPr txBox="1"/>
          </xdr:nvSpPr>
          <xdr:spPr>
            <a:xfrm>
              <a:off x="10189845" y="1567180"/>
              <a:ext cx="4127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а</a:t>
              </a:r>
              <a:r>
                <a:rPr lang="ru-RU" sz="1100">
                  <a:latin typeface="Cambria Math" panose="02040503050406030204" pitchFamily="18" charset="0"/>
                </a:rPr>
                <a:t>∕</a:t>
              </a:r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548640</xdr:colOff>
      <xdr:row>3</xdr:row>
      <xdr:rowOff>30480</xdr:rowOff>
    </xdr:from>
    <xdr:ext cx="412750" cy="172085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12"/>
            <xdr:cNvSpPr txBox="1"/>
          </xdr:nvSpPr>
          <xdr:spPr>
            <a:xfrm>
              <a:off x="1783080" y="594360"/>
              <a:ext cx="4127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а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Т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altLang="en-US" sz="1100"/>
            </a:p>
          </xdr:txBody>
        </xdr:sp>
      </mc:Choice>
      <mc:Fallback>
        <xdr:sp>
          <xdr:nvSpPr>
            <xdr:cNvPr id="14" name="TextBox 12"/>
            <xdr:cNvSpPr txBox="1"/>
          </xdr:nvSpPr>
          <xdr:spPr>
            <a:xfrm>
              <a:off x="1783080" y="594360"/>
              <a:ext cx="4127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а</a:t>
              </a:r>
              <a:r>
                <a:rPr lang="ru-RU" sz="1100">
                  <a:latin typeface="Cambria Math" panose="02040503050406030204" pitchFamily="18" charset="0"/>
                </a:rPr>
                <a:t>∕</a:t>
              </a:r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ж</a:t>
              </a:r>
              <a:endParaRPr lang="ru-RU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F22" sqref="F22"/>
    </sheetView>
  </sheetViews>
  <sheetFormatPr defaultColWidth="9" defaultRowHeight="14.4"/>
  <cols>
    <col min="12" max="12" width="14.3333333333333"/>
  </cols>
  <sheetData>
    <row r="1" ht="15.6" spans="1:1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5.6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5" customHeight="1" spans="1:12">
      <c r="A3" s="3"/>
      <c r="B3" s="3"/>
      <c r="C3" s="11" t="s">
        <v>0</v>
      </c>
      <c r="D3" s="12"/>
      <c r="E3" s="12"/>
      <c r="F3" s="12"/>
      <c r="G3" s="12"/>
      <c r="H3" s="12"/>
      <c r="I3" s="3"/>
      <c r="J3" s="3"/>
      <c r="K3" s="3"/>
      <c r="L3" s="3"/>
    </row>
    <row r="4" ht="15.6" spans="1:12">
      <c r="A4" s="3"/>
      <c r="B4" s="3"/>
      <c r="C4" s="12"/>
      <c r="D4" s="12"/>
      <c r="E4" s="12"/>
      <c r="F4" s="12"/>
      <c r="G4" s="12"/>
      <c r="H4" s="12"/>
      <c r="I4" s="3"/>
      <c r="J4" s="3"/>
      <c r="K4" s="3"/>
      <c r="L4" s="3"/>
    </row>
    <row r="5" ht="15.6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5.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15.6" spans="1:12">
      <c r="A7" s="3"/>
      <c r="B7" s="3"/>
      <c r="C7" s="4" t="s">
        <v>1</v>
      </c>
      <c r="D7" s="5"/>
      <c r="E7" s="5"/>
      <c r="F7" s="3"/>
      <c r="G7" s="3"/>
      <c r="H7" s="3"/>
      <c r="I7" s="3"/>
      <c r="J7" s="9" t="s">
        <v>2</v>
      </c>
      <c r="K7" s="13"/>
      <c r="L7" s="10"/>
    </row>
    <row r="8" ht="15.6" spans="1:12">
      <c r="A8" s="3"/>
      <c r="B8" s="3"/>
      <c r="C8" s="5"/>
      <c r="D8" s="5"/>
      <c r="E8" s="5"/>
      <c r="F8" s="3"/>
      <c r="G8" s="3"/>
      <c r="H8" s="3"/>
      <c r="I8" s="3"/>
      <c r="J8" s="7"/>
      <c r="K8" s="7"/>
      <c r="L8" s="7"/>
    </row>
    <row r="9" ht="15.6" spans="1:12">
      <c r="A9" s="3"/>
      <c r="B9" s="3"/>
      <c r="C9" s="5"/>
      <c r="D9" s="5"/>
      <c r="E9" s="5"/>
      <c r="F9" s="3"/>
      <c r="G9" s="3"/>
      <c r="H9" s="3"/>
      <c r="I9" s="3"/>
      <c r="J9" s="7">
        <v>510</v>
      </c>
      <c r="K9" s="7">
        <v>340</v>
      </c>
      <c r="L9" s="7">
        <f>K9/J9</f>
        <v>0.666666666666667</v>
      </c>
    </row>
    <row r="10" ht="15.6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5.6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5.6" spans="1:12">
      <c r="A12" s="3"/>
      <c r="B12" s="3"/>
      <c r="C12" s="4" t="s">
        <v>3</v>
      </c>
      <c r="D12" s="5"/>
      <c r="E12" s="5"/>
      <c r="F12" s="5"/>
      <c r="G12" s="5"/>
      <c r="H12" s="3"/>
      <c r="I12" s="3"/>
      <c r="J12" s="3"/>
      <c r="K12" s="3"/>
      <c r="L12" s="3"/>
    </row>
    <row r="13" ht="15.6" spans="1:12">
      <c r="A13" s="3"/>
      <c r="B13" s="3"/>
      <c r="C13" s="4" t="s">
        <v>4</v>
      </c>
      <c r="D13" s="5"/>
      <c r="E13" s="7"/>
      <c r="F13" s="7">
        <v>510</v>
      </c>
      <c r="G13" s="8" t="s">
        <v>5</v>
      </c>
      <c r="H13" s="3"/>
      <c r="I13" s="3"/>
      <c r="J13" s="3"/>
      <c r="K13" s="3"/>
      <c r="L13" s="3"/>
    </row>
    <row r="14" ht="15.6" spans="1:12">
      <c r="A14" s="3"/>
      <c r="B14" s="3"/>
      <c r="C14" s="4" t="s">
        <v>6</v>
      </c>
      <c r="D14" s="5"/>
      <c r="E14" s="7"/>
      <c r="F14" s="7">
        <v>340</v>
      </c>
      <c r="G14" s="8" t="s">
        <v>7</v>
      </c>
      <c r="H14" s="3"/>
      <c r="I14" s="3"/>
      <c r="J14" s="3"/>
      <c r="K14" s="3"/>
      <c r="L14" s="3"/>
    </row>
    <row r="15" ht="15.6" spans="1:12">
      <c r="A15" s="3"/>
      <c r="B15" s="3"/>
      <c r="C15" s="4" t="s">
        <v>8</v>
      </c>
      <c r="D15" s="5"/>
      <c r="E15" s="7"/>
      <c r="F15" s="8" t="s">
        <v>9</v>
      </c>
      <c r="G15" s="8" t="s">
        <v>10</v>
      </c>
      <c r="H15" s="3"/>
      <c r="I15" s="3"/>
      <c r="J15" s="3"/>
      <c r="K15" s="3"/>
      <c r="L15" s="3"/>
    </row>
    <row r="16" ht="15.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5.6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5.6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mergeCells count="8">
    <mergeCell ref="C7:E7"/>
    <mergeCell ref="J7:L7"/>
    <mergeCell ref="C12:G12"/>
    <mergeCell ref="C13:D13"/>
    <mergeCell ref="C14:D14"/>
    <mergeCell ref="C15:D15"/>
    <mergeCell ref="C3:H4"/>
    <mergeCell ref="C8:E9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P19"/>
  <sheetViews>
    <sheetView tabSelected="1" workbookViewId="0">
      <selection activeCell="I13" sqref="I13"/>
    </sheetView>
  </sheetViews>
  <sheetFormatPr defaultColWidth="9" defaultRowHeight="14.4"/>
  <cols>
    <col min="12" max="12" width="11.5555555555556" customWidth="1"/>
    <col min="14" max="16" width="14.3333333333333"/>
  </cols>
  <sheetData>
    <row r="3" ht="15.6" spans="3:16">
      <c r="C3" s="1" t="s">
        <v>11</v>
      </c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</row>
    <row r="4" ht="15.6" spans="3:16"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</row>
    <row r="5" ht="15.6" spans="3:16"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</row>
    <row r="6" ht="15.6" spans="3:16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.6" spans="3:16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5.6" spans="3:16">
      <c r="C8" s="4" t="s">
        <v>12</v>
      </c>
      <c r="D8" s="5"/>
      <c r="E8" s="5"/>
      <c r="F8" s="3"/>
      <c r="G8" s="3"/>
      <c r="H8" s="3"/>
      <c r="I8" s="3"/>
      <c r="J8" s="3"/>
      <c r="K8" s="4" t="s">
        <v>2</v>
      </c>
      <c r="L8" s="5"/>
      <c r="M8" s="5"/>
      <c r="N8" s="5"/>
      <c r="O8" s="5"/>
      <c r="P8" s="5"/>
    </row>
    <row r="9" ht="15.6" spans="3:16">
      <c r="C9" s="5"/>
      <c r="D9" s="5"/>
      <c r="E9" s="5"/>
      <c r="F9" s="3"/>
      <c r="G9" s="3"/>
      <c r="H9" s="3"/>
      <c r="I9" s="3"/>
      <c r="J9" s="3"/>
      <c r="K9" s="8" t="s">
        <v>13</v>
      </c>
      <c r="L9" s="7"/>
      <c r="M9" s="7"/>
      <c r="N9" s="7"/>
      <c r="O9" s="7"/>
      <c r="P9" s="7"/>
    </row>
    <row r="10" ht="15.6" spans="3:16">
      <c r="C10" s="5"/>
      <c r="D10" s="5"/>
      <c r="E10" s="5"/>
      <c r="F10" s="3"/>
      <c r="G10" s="3"/>
      <c r="H10" s="3"/>
      <c r="I10" s="3"/>
      <c r="J10" s="3"/>
      <c r="K10" s="7">
        <v>1.5</v>
      </c>
      <c r="L10" s="7">
        <v>9.8</v>
      </c>
      <c r="M10" s="7">
        <v>1.62</v>
      </c>
      <c r="N10" s="7">
        <f>2*3.14*SQRT(K10/M10)</f>
        <v>6.04293281751808</v>
      </c>
      <c r="O10" s="7">
        <f>2*3.14*SQRT(K10/L10)</f>
        <v>2.45692690080889</v>
      </c>
      <c r="P10" s="7">
        <f>N10/O10</f>
        <v>2.45954929124207</v>
      </c>
    </row>
    <row r="11" ht="15.6" spans="3:16">
      <c r="C11" s="5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5.6" spans="3:16"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15.6" spans="3:16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5.6" spans="3:16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.6" spans="3:16">
      <c r="C15" s="4" t="s">
        <v>3</v>
      </c>
      <c r="D15" s="5"/>
      <c r="E15" s="5"/>
      <c r="F15" s="5"/>
      <c r="G15" s="5"/>
      <c r="H15" s="5"/>
      <c r="I15" s="3"/>
      <c r="J15" s="3"/>
      <c r="K15" s="3"/>
      <c r="L15" s="3"/>
      <c r="M15" s="3"/>
      <c r="N15" s="3"/>
      <c r="O15" s="3"/>
      <c r="P15" s="3"/>
    </row>
    <row r="16" ht="15.6" spans="3:16">
      <c r="C16" s="4" t="s">
        <v>14</v>
      </c>
      <c r="D16" s="5"/>
      <c r="E16" s="5"/>
      <c r="F16" s="6" t="s">
        <v>15</v>
      </c>
      <c r="G16" s="7">
        <v>1.5</v>
      </c>
      <c r="H16" s="8" t="s">
        <v>10</v>
      </c>
      <c r="I16" s="3"/>
      <c r="J16" s="3"/>
      <c r="K16" s="3"/>
      <c r="L16" s="3"/>
      <c r="M16" s="3"/>
      <c r="N16" s="3"/>
      <c r="O16" s="3"/>
      <c r="P16" s="3"/>
    </row>
    <row r="17" ht="15.6" spans="3:16">
      <c r="C17" s="4" t="s">
        <v>16</v>
      </c>
      <c r="D17" s="5"/>
      <c r="E17" s="5"/>
      <c r="F17" s="7"/>
      <c r="G17" s="7">
        <v>9.8</v>
      </c>
      <c r="H17" s="8" t="s">
        <v>17</v>
      </c>
      <c r="I17" s="3"/>
      <c r="J17" s="3"/>
      <c r="K17" s="3"/>
      <c r="L17" s="3"/>
      <c r="M17" s="3"/>
      <c r="N17" s="3"/>
      <c r="O17" s="3"/>
      <c r="P17" s="3"/>
    </row>
    <row r="18" ht="15.6" spans="3:16">
      <c r="C18" s="4" t="s">
        <v>18</v>
      </c>
      <c r="D18" s="5"/>
      <c r="E18" s="5"/>
      <c r="F18" s="7"/>
      <c r="G18" s="7">
        <v>1.62</v>
      </c>
      <c r="H18" s="8" t="s">
        <v>17</v>
      </c>
      <c r="I18" s="3"/>
      <c r="J18" s="3"/>
      <c r="K18" s="3"/>
      <c r="L18" s="3"/>
      <c r="M18" s="3"/>
      <c r="N18" s="3"/>
      <c r="O18" s="3"/>
      <c r="P18" s="3"/>
    </row>
    <row r="19" ht="15.6" spans="3:16">
      <c r="C19" s="4" t="s">
        <v>19</v>
      </c>
      <c r="D19" s="5"/>
      <c r="E19" s="5"/>
      <c r="F19" s="7"/>
      <c r="G19" s="9" t="s">
        <v>9</v>
      </c>
      <c r="H19" s="10"/>
      <c r="I19" s="3"/>
      <c r="J19" s="3"/>
      <c r="K19" s="3"/>
      <c r="L19" s="3"/>
      <c r="M19" s="3"/>
      <c r="N19" s="3"/>
      <c r="O19" s="3"/>
      <c r="P19" s="3"/>
    </row>
  </sheetData>
  <mergeCells count="11">
    <mergeCell ref="C8:E8"/>
    <mergeCell ref="K8:P8"/>
    <mergeCell ref="C15:H15"/>
    <mergeCell ref="C16:E16"/>
    <mergeCell ref="C17:E17"/>
    <mergeCell ref="C18:E18"/>
    <mergeCell ref="C19:E19"/>
    <mergeCell ref="G19:H19"/>
    <mergeCell ref="C3:I5"/>
    <mergeCell ref="C9:E10"/>
    <mergeCell ref="C11:E1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Ерасы Әріпжанұлы</dc:creator>
  <cp:lastModifiedBy>Admin</cp:lastModifiedBy>
  <dcterms:created xsi:type="dcterms:W3CDTF">2025-04-22T12:10:00Z</dcterms:created>
  <dcterms:modified xsi:type="dcterms:W3CDTF">2025-06-02T19:51:39Z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BEEE479FFFE440C7B02770270C530BA2_12</vt:lpwstr>
  </property>
  <property fmtid="{D5CDD505-2E9C-101B-9397-08002B2CF9AE}" pid="3" name="KSOProductBuildVer">
    <vt:lpwstr>1049-12.2.0.21179</vt:lpwstr>
  </property>
</Properties>
</file>