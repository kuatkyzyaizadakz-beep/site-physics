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<sst xmlns="http://schemas.openxmlformats.org/spreadsheetml/2006/main" count="37" uniqueCount="26">
  <si>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Уран-235 ядросының бөлінуі кезінде орташа 2.5 нейтрон бөлінеді. Егер бастапқы реакцияда 1 нейтрон бөліну процесін бастаса, 10-шы буында қанша нейтрон пайда болады?</t>
  </si>
  <si>
    <t>Есептеуіш формулалар</t>
  </si>
  <si>
    <t>Нәтиже кестесі</t>
  </si>
  <si>
    <t>k</t>
  </si>
  <si>
    <r>
      <t>N</t>
    </r>
    <r>
      <rPr>
        <vertAlign val="subscript"/>
        <sz val="12"/>
        <color theme="1"/>
        <rFont val="Times New Roman"/>
        <charset val="134"/>
      </rPr>
      <t>0</t>
    </r>
  </si>
  <si>
    <t>n</t>
  </si>
  <si>
    <r>
      <t>N</t>
    </r>
    <r>
      <rPr>
        <vertAlign val="subscript"/>
        <sz val="12"/>
        <color theme="1"/>
        <rFont val="Times New Roman"/>
        <charset val="134"/>
      </rPr>
      <t>n</t>
    </r>
  </si>
  <si>
    <t>Деректер кестесі</t>
  </si>
  <si>
    <t>?</t>
  </si>
  <si>
    <t>Уран-235 ядросы нейтронды жұтып, бөліну кезінде барий-144 және криптон-89 түзіледі.Реакцияны толық теңестіріңіз. Х, Y, Z мәндерін табыңыз.</t>
  </si>
  <si>
    <t>Есептеуіш формула</t>
  </si>
  <si>
    <t>Х</t>
  </si>
  <si>
    <t>У</t>
  </si>
  <si>
    <t>Z</t>
  </si>
  <si>
    <t>Элемент</t>
  </si>
  <si>
    <t>Символ</t>
  </si>
  <si>
    <t xml:space="preserve">Массалық саны </t>
  </si>
  <si>
    <t>Атомдық саны</t>
  </si>
  <si>
    <t>Уран</t>
  </si>
  <si>
    <t>U</t>
  </si>
  <si>
    <t>Нейтрон</t>
  </si>
  <si>
    <t>Барий</t>
  </si>
  <si>
    <t>Ba</t>
  </si>
  <si>
    <t>Криптон</t>
  </si>
  <si>
    <t>Kr</t>
  </si>
  <si>
    <t>Нейтрон саны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</si>
</sst>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b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563880</xdr:colOff>
      <xdr:row>8</xdr:row>
      <xdr:rowOff>102870</xdr:rowOff>
    </xdr:from>
    <xdr:ext cx="692241" cy="20424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35480" y="1642110"/>
              <a:ext cx="692150" cy="203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35480" y="1642110"/>
              <a:ext cx="692150" cy="203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𝑛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𝑘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248852</xdr:colOff>
      <xdr:row>8</xdr:row>
      <xdr:rowOff>81279</xdr:rowOff>
    </xdr:from>
    <xdr:ext cx="2076338" cy="179354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619885" y="1619885"/>
              <a:ext cx="2076450" cy="1797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91</m:t>
                        </m:r>
                      </m:sub>
                      <m:sup>
                        <m:r>
                          <a:rPr lang="en-US" b="0" i="1">
                            <a:latin typeface="Cambria Math" panose="02040503050406030204" pitchFamily="18" charset="0"/>
                          </a:rPr>
                          <m:t>235</m:t>
                        </m:r>
                      </m:sup>
                      <m:e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𝑈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+</m:t>
                        </m:r>
                        <m:sPre>
                          <m:sPre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sPrePr>
                          <m:sub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p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→</m:t>
                            </m:r>
                            <m:sPre>
                              <m:sPrePr>
                                <m:ctrlPr>
                                  <a:rPr lang="en-US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PrePr>
                              <m:sub>
                                <m:r>
                                  <a:rPr lang="en-US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sub>
                              <m:sup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141</m:t>
                                </m:r>
                              </m:sup>
                              <m:e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𝐵𝑎</m:t>
                                </m:r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sPre>
                                  <m:sPrePr>
                                    <m:ctrlP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PrePr>
                                  <m:sub>
                                    <m: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  <m:t>𝑌</m:t>
                                    </m:r>
                                  </m:sub>
                                  <m:sup>
                                    <m: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  <m:t>89</m:t>
                                    </m:r>
                                  </m:sup>
                                  <m:e>
                                    <m: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  <m:t>𝑘𝑟</m:t>
                                    </m:r>
                                    <m: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  <m:r>
                                      <a:rPr lang="en-US" b="0" i="1">
                                        <a:latin typeface="Cambria Math" panose="02040503050406030204" pitchFamily="18" charset="0"/>
                                      </a:rPr>
                                      <m:t>𝑍</m:t>
                                    </m:r>
                                    <m:sPre>
                                      <m:sPrePr>
                                        <m:ctrlPr>
                                          <a:rPr lang="en-US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PrePr>
                                      <m:sub>
                                        <m:r>
                                          <a:rPr lang="en-US" b="0" i="1">
                                            <a:latin typeface="Cambria Math" panose="02040503050406030204" pitchFamily="18" charset="0"/>
                                          </a:rPr>
                                          <m:t>0</m:t>
                                        </m:r>
                                      </m:sub>
                                      <m:sup>
                                        <m:r>
                                          <a:rPr lang="en-US" b="0" i="1"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p>
                                      <m:e>
                                        <m:r>
                                          <a:rPr lang="en-US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</m:sPre>
                                  </m:e>
                                </m:sPre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619885" y="1619885"/>
              <a:ext cx="2076450" cy="1797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(_</a:t>
              </a:r>
              <a:r>
                <a:rPr lang="en-US" sz="1100" b="0">
                  <a:latin typeface="Cambria Math" panose="02040503050406030204" pitchFamily="18" charset="0"/>
                </a:rPr>
                <a:t>91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b="0">
                  <a:latin typeface="Cambria Math" panose="02040503050406030204" pitchFamily="18" charset="0"/>
                </a:rPr>
                <a:t>235</a:t>
              </a:r>
              <a:r>
                <a:rPr lang="ru-RU" sz="1100">
                  <a:latin typeface="Cambria Math" panose="02040503050406030204" pitchFamily="18" charset="0"/>
                </a:rPr>
                <a:t>)</a:t>
              </a:r>
              <a:r>
                <a:rPr lang="en-US" b="0">
                  <a:latin typeface="Cambria Math" panose="02040503050406030204" pitchFamily="18" charset="0"/>
                </a:rPr>
                <a:t>𝑈</a:t>
              </a:r>
              <a:r>
                <a:rPr lang="en-US" b="0">
                  <a:latin typeface="Cambria Math" panose="02040503050406030204" pitchFamily="18" charset="0"/>
                </a:rPr>
                <a:t>+</a:t>
              </a:r>
              <a:r>
                <a:rPr lang="en-US" b="0">
                  <a:latin typeface="Cambria Math" panose="02040503050406030204" pitchFamily="18" charset="0"/>
                </a:rPr>
                <a:t>(_</a:t>
              </a:r>
              <a:r>
                <a:rPr lang="en-US" b="0">
                  <a:latin typeface="Cambria Math" panose="02040503050406030204" pitchFamily="18" charset="0"/>
                </a:rPr>
                <a:t>0</a:t>
              </a:r>
              <a:r>
                <a:rPr lang="en-US" b="0">
                  <a:latin typeface="Cambria Math" panose="02040503050406030204" pitchFamily="18" charset="0"/>
                </a:rPr>
                <a:t>^</a:t>
              </a:r>
              <a:r>
                <a:rPr lang="en-US" b="0">
                  <a:latin typeface="Cambria Math" panose="02040503050406030204" pitchFamily="18" charset="0"/>
                </a:rPr>
                <a:t>1</a:t>
              </a:r>
              <a:r>
                <a:rPr lang="en-US" b="0">
                  <a:latin typeface="Cambria Math" panose="02040503050406030204" pitchFamily="18" charset="0"/>
                </a:rPr>
                <a:t>)</a:t>
              </a:r>
              <a:r>
                <a:rPr lang="en-US" b="0">
                  <a:latin typeface="Cambria Math" panose="02040503050406030204" pitchFamily="18" charset="0"/>
                </a:rPr>
                <a:t>𝑛</a:t>
              </a:r>
              <a:r>
                <a:rPr lang="en-US" b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n-US" b="0">
                  <a:latin typeface="Cambria Math" panose="02040503050406030204" pitchFamily="18" charset="0"/>
                  <a:ea typeface="Cambria Math" panose="02040503050406030204" pitchFamily="18" charset="0"/>
                </a:rPr>
                <a:t>(_</a:t>
              </a:r>
              <a:r>
                <a:rPr lang="en-US" b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n-US" b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b="0">
                  <a:latin typeface="Cambria Math" panose="02040503050406030204" pitchFamily="18" charset="0"/>
                </a:rPr>
                <a:t>141</a:t>
              </a:r>
              <a:r>
                <a:rPr lang="en-US" b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b="0">
                  <a:latin typeface="Cambria Math" panose="02040503050406030204" pitchFamily="18" charset="0"/>
                </a:rPr>
                <a:t>𝐵𝑎</a:t>
              </a:r>
              <a:r>
                <a:rPr lang="en-US" b="0">
                  <a:latin typeface="Cambria Math" panose="02040503050406030204" pitchFamily="18" charset="0"/>
                </a:rPr>
                <a:t>=</a:t>
              </a:r>
              <a:r>
                <a:rPr lang="en-US" b="0">
                  <a:latin typeface="Cambria Math" panose="02040503050406030204" pitchFamily="18" charset="0"/>
                </a:rPr>
                <a:t>(_</a:t>
              </a:r>
              <a:r>
                <a:rPr lang="en-US" b="0">
                  <a:latin typeface="Cambria Math" panose="02040503050406030204" pitchFamily="18" charset="0"/>
                </a:rPr>
                <a:t>𝑌</a:t>
              </a:r>
              <a:r>
                <a:rPr lang="en-US" b="0">
                  <a:latin typeface="Cambria Math" panose="02040503050406030204" pitchFamily="18" charset="0"/>
                </a:rPr>
                <a:t>^</a:t>
              </a:r>
              <a:r>
                <a:rPr lang="en-US" b="0">
                  <a:latin typeface="Cambria Math" panose="02040503050406030204" pitchFamily="18" charset="0"/>
                </a:rPr>
                <a:t>89</a:t>
              </a:r>
              <a:r>
                <a:rPr lang="en-US" b="0">
                  <a:latin typeface="Cambria Math" panose="02040503050406030204" pitchFamily="18" charset="0"/>
                </a:rPr>
                <a:t>)</a:t>
              </a:r>
              <a:r>
                <a:rPr lang="en-US" b="0">
                  <a:latin typeface="Cambria Math" panose="02040503050406030204" pitchFamily="18" charset="0"/>
                </a:rPr>
                <a:t>𝑘𝑟</a:t>
              </a:r>
              <a:r>
                <a:rPr lang="en-US" b="0">
                  <a:latin typeface="Cambria Math" panose="02040503050406030204" pitchFamily="18" charset="0"/>
                </a:rPr>
                <a:t>+</a:t>
              </a:r>
              <a:r>
                <a:rPr lang="en-US" b="0">
                  <a:latin typeface="Cambria Math" panose="02040503050406030204" pitchFamily="18" charset="0"/>
                </a:rPr>
                <a:t>𝑍</a:t>
              </a:r>
              <a:r>
                <a:rPr lang="en-US" b="0">
                  <a:latin typeface="Cambria Math" panose="02040503050406030204" pitchFamily="18" charset="0"/>
                </a:rPr>
                <a:t>(_</a:t>
              </a:r>
              <a:r>
                <a:rPr lang="en-US" b="0">
                  <a:latin typeface="Cambria Math" panose="02040503050406030204" pitchFamily="18" charset="0"/>
                </a:rPr>
                <a:t>0</a:t>
              </a:r>
              <a:r>
                <a:rPr lang="en-US" b="0">
                  <a:latin typeface="Cambria Math" panose="02040503050406030204" pitchFamily="18" charset="0"/>
                </a:rPr>
                <a:t>^</a:t>
              </a:r>
              <a:r>
                <a:rPr lang="en-US" b="0">
                  <a:latin typeface="Cambria Math" panose="02040503050406030204" pitchFamily="18" charset="0"/>
                </a:rPr>
                <a:t>1</a:t>
              </a:r>
              <a:r>
                <a:rPr lang="en-US" b="0">
                  <a:latin typeface="Cambria Math" panose="02040503050406030204" pitchFamily="18" charset="0"/>
                </a:rPr>
                <a:t>)</a:t>
              </a:r>
              <a:r>
                <a:rPr lang="en-US" b="0">
                  <a:latin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8"/>
  <sheetViews>
    <sheetView workbookViewId="0">
      <selection activeCell="G19" sqref="G19"/>
    </sheetView>
  </sheetViews>
  <sheetFormatPr defaultColWidth="9" defaultRowHeight="13.8"/>
  <cols>
    <col min="11" max="11" width="12.8"/>
  </cols>
  <sheetData>
    <row r="3" ht="15.6" spans="3:11">
      <c r="C3" s="20" t="s">
        <v>0</v>
      </c>
      <c r="D3" s="21"/>
      <c r="E3" s="21"/>
      <c r="F3" s="21"/>
      <c r="G3" s="21"/>
      <c r="H3" s="21"/>
      <c r="I3" s="21"/>
      <c r="J3" s="3"/>
      <c r="K3" s="3"/>
    </row>
    <row r="4" ht="15.6" spans="3:11">
      <c r="C4" s="21"/>
      <c r="D4" s="21"/>
      <c r="E4" s="21"/>
      <c r="F4" s="21"/>
      <c r="G4" s="21"/>
      <c r="H4" s="21"/>
      <c r="I4" s="21"/>
      <c r="J4" s="3"/>
      <c r="K4" s="3"/>
    </row>
    <row r="5" ht="15.6" spans="3:11">
      <c r="C5" s="21"/>
      <c r="D5" s="21"/>
      <c r="E5" s="21"/>
      <c r="F5" s="21"/>
      <c r="G5" s="21"/>
      <c r="H5" s="21"/>
      <c r="I5" s="21"/>
      <c r="J5" s="3"/>
      <c r="K5" s="3"/>
    </row>
    <row r="6" ht="15.6" spans="3:11">
      <c r="C6" s="3"/>
      <c r="D6" s="3"/>
      <c r="E6" s="3"/>
      <c r="F6" s="3"/>
      <c r="G6" s="3"/>
      <c r="H6" s="3"/>
      <c r="I6" s="3"/>
      <c r="J6" s="3"/>
      <c r="K6" s="3"/>
    </row>
    <row r="7" ht="15.6" spans="3:11">
      <c r="C7" s="3"/>
      <c r="D7" s="3"/>
      <c r="E7" s="3"/>
      <c r="F7" s="3"/>
      <c r="G7" s="3"/>
      <c r="H7" s="3"/>
      <c r="I7" s="3"/>
      <c r="J7" s="3"/>
      <c r="K7" s="3"/>
    </row>
    <row r="8" ht="15.6" spans="3:11">
      <c r="C8" s="4" t="s">
        <v>1</v>
      </c>
      <c r="D8" s="5"/>
      <c r="E8" s="5"/>
      <c r="F8" s="3"/>
      <c r="G8" s="3"/>
      <c r="H8" s="17" t="s">
        <v>2</v>
      </c>
      <c r="I8" s="18"/>
      <c r="J8" s="18"/>
      <c r="K8" s="19"/>
    </row>
    <row r="9" ht="19.2" spans="3:11">
      <c r="C9" s="5"/>
      <c r="D9" s="5"/>
      <c r="E9" s="5"/>
      <c r="F9" s="3"/>
      <c r="G9" s="3"/>
      <c r="H9" s="10" t="s">
        <v>3</v>
      </c>
      <c r="I9" s="10" t="s">
        <v>4</v>
      </c>
      <c r="J9" s="10" t="s">
        <v>5</v>
      </c>
      <c r="K9" s="10" t="s">
        <v>6</v>
      </c>
    </row>
    <row r="10" ht="15.6" spans="3:11">
      <c r="C10" s="5"/>
      <c r="D10" s="5"/>
      <c r="E10" s="5"/>
      <c r="F10" s="3"/>
      <c r="G10" s="3"/>
      <c r="H10" s="11">
        <v>2.5</v>
      </c>
      <c r="I10" s="11">
        <v>1</v>
      </c>
      <c r="J10" s="11">
        <v>10</v>
      </c>
      <c r="K10" s="11">
        <f>I10*(H10)^10</f>
        <v>9536.7431640625</v>
      </c>
    </row>
    <row r="11" ht="15.6" spans="3:11">
      <c r="C11" s="3"/>
      <c r="D11" s="3"/>
      <c r="E11" s="3"/>
      <c r="F11" s="3"/>
      <c r="G11" s="3"/>
      <c r="H11" s="3"/>
      <c r="I11" s="3"/>
      <c r="J11" s="3"/>
      <c r="K11" s="3"/>
    </row>
    <row r="12" ht="15.6" spans="3:11">
      <c r="C12" s="3"/>
      <c r="D12" s="3"/>
      <c r="E12" s="3"/>
      <c r="F12" s="3"/>
      <c r="G12" s="3"/>
      <c r="H12" s="3"/>
      <c r="I12" s="3"/>
      <c r="J12" s="3"/>
      <c r="K12" s="3"/>
    </row>
    <row r="13" ht="15.6" spans="3:11">
      <c r="C13" s="4" t="s">
        <v>7</v>
      </c>
      <c r="D13" s="5"/>
      <c r="E13" s="3"/>
      <c r="F13" s="3"/>
      <c r="G13" s="3"/>
      <c r="H13" s="3"/>
      <c r="I13" s="3"/>
      <c r="J13" s="3"/>
      <c r="K13" s="3"/>
    </row>
    <row r="14" ht="19.2" spans="3:11">
      <c r="C14" s="10" t="s">
        <v>4</v>
      </c>
      <c r="D14" s="11">
        <v>1</v>
      </c>
      <c r="E14" s="3"/>
      <c r="F14" s="3"/>
      <c r="G14" s="3"/>
      <c r="H14" s="3"/>
      <c r="I14" s="3"/>
      <c r="J14" s="3"/>
      <c r="K14" s="3"/>
    </row>
    <row r="15" ht="15.6" spans="3:11">
      <c r="C15" s="10" t="s">
        <v>3</v>
      </c>
      <c r="D15" s="11">
        <v>2.5</v>
      </c>
      <c r="E15" s="3"/>
      <c r="F15" s="3"/>
      <c r="G15" s="3"/>
      <c r="H15" s="3"/>
      <c r="I15" s="3"/>
      <c r="J15" s="3"/>
      <c r="K15" s="3"/>
    </row>
    <row r="16" ht="15.6" spans="3:11">
      <c r="C16" s="10" t="s">
        <v>5</v>
      </c>
      <c r="D16" s="11">
        <v>10</v>
      </c>
      <c r="E16" s="3"/>
      <c r="F16" s="3"/>
      <c r="G16" s="3"/>
      <c r="H16" s="3"/>
      <c r="I16" s="3"/>
      <c r="J16" s="3"/>
      <c r="K16" s="3"/>
    </row>
    <row r="17" ht="19.2" spans="3:11">
      <c r="C17" s="10" t="s">
        <v>6</v>
      </c>
      <c r="D17" s="4" t="s">
        <v>8</v>
      </c>
      <c r="E17" s="3"/>
      <c r="F17" s="3"/>
      <c r="G17" s="3"/>
      <c r="H17" s="3"/>
      <c r="I17" s="3"/>
      <c r="J17" s="3"/>
      <c r="K17" s="3"/>
    </row>
    <row r="18" ht="15.6" spans="3:11">
      <c r="C18" s="3"/>
      <c r="D18" s="3"/>
      <c r="E18" s="3"/>
      <c r="F18" s="3"/>
      <c r="G18" s="3"/>
      <c r="H18" s="3"/>
      <c r="I18" s="3"/>
      <c r="J18" s="3"/>
      <c r="K18" s="3"/>
    </row>
  </sheetData>
  <mergeCells count="5">
    <mergeCell ref="C8:E8"/>
    <mergeCell ref="H8:K8"/>
    <mergeCell ref="C13:D13"/>
    <mergeCell ref="C3:I5"/>
    <mergeCell ref="C9:E1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3"/>
  <sheetViews>
    <sheetView tabSelected="1" zoomScale="85" zoomScaleNormal="85" workbookViewId="0">
      <selection activeCell="M21" sqref="M21"/>
    </sheetView>
  </sheetViews>
  <sheetFormatPr defaultColWidth="9" defaultRowHeight="13.8"/>
  <cols>
    <col min="5" max="5" width="10.5583333333333" customWidth="1"/>
  </cols>
  <sheetData>
    <row r="3" ht="15.6" spans="3:11">
      <c r="C3" s="1" t="s">
        <v>9</v>
      </c>
      <c r="D3" s="2"/>
      <c r="E3" s="2"/>
      <c r="F3" s="2"/>
      <c r="G3" s="2"/>
      <c r="H3" s="2"/>
      <c r="I3" s="2"/>
      <c r="J3" s="3"/>
      <c r="K3" s="3"/>
    </row>
    <row r="4" ht="15.6" spans="3:11">
      <c r="C4" s="2"/>
      <c r="D4" s="2"/>
      <c r="E4" s="2"/>
      <c r="F4" s="2"/>
      <c r="G4" s="2"/>
      <c r="H4" s="2"/>
      <c r="I4" s="2"/>
      <c r="J4" s="3"/>
      <c r="K4" s="3"/>
    </row>
    <row r="5" ht="15.6" spans="3:11">
      <c r="C5" s="2"/>
      <c r="D5" s="2"/>
      <c r="E5" s="2"/>
      <c r="F5" s="2"/>
      <c r="G5" s="2"/>
      <c r="H5" s="2"/>
      <c r="I5" s="2"/>
      <c r="J5" s="3"/>
      <c r="K5" s="3"/>
    </row>
    <row r="6" ht="15.6" spans="3:11">
      <c r="C6" s="3"/>
      <c r="D6" s="3"/>
      <c r="E6" s="3"/>
      <c r="F6" s="3"/>
      <c r="G6" s="3"/>
      <c r="H6" s="3"/>
      <c r="I6" s="3"/>
      <c r="J6" s="3"/>
      <c r="K6" s="3"/>
    </row>
    <row r="7" ht="15.6" spans="3:11">
      <c r="C7" s="3"/>
      <c r="D7" s="3"/>
      <c r="E7" s="3"/>
      <c r="F7" s="3"/>
      <c r="G7" s="3"/>
      <c r="H7" s="3"/>
      <c r="I7" s="3"/>
      <c r="J7" s="3"/>
      <c r="K7" s="3"/>
    </row>
    <row r="8" ht="15.6" spans="3:11">
      <c r="C8" s="4" t="s">
        <v>10</v>
      </c>
      <c r="D8" s="5"/>
      <c r="E8" s="5"/>
      <c r="F8" s="5"/>
      <c r="G8" s="3"/>
      <c r="H8" s="3"/>
      <c r="I8" s="17" t="s">
        <v>2</v>
      </c>
      <c r="J8" s="18"/>
      <c r="K8" s="19"/>
    </row>
    <row r="9" ht="15.6" spans="3:11">
      <c r="C9" s="5"/>
      <c r="D9" s="5"/>
      <c r="E9" s="5"/>
      <c r="F9" s="5"/>
      <c r="G9" s="3"/>
      <c r="H9" s="3"/>
      <c r="I9" s="10" t="s">
        <v>11</v>
      </c>
      <c r="J9" s="10" t="s">
        <v>12</v>
      </c>
      <c r="K9" s="10" t="s">
        <v>13</v>
      </c>
    </row>
    <row r="10" ht="15.6" spans="3:11">
      <c r="C10" s="5"/>
      <c r="D10" s="5"/>
      <c r="E10" s="5"/>
      <c r="F10" s="5"/>
      <c r="G10" s="3"/>
      <c r="H10" s="3"/>
      <c r="I10" s="11">
        <v>56</v>
      </c>
      <c r="J10" s="11">
        <v>36</v>
      </c>
      <c r="K10" s="11">
        <f>E16+E17-E18-E19</f>
        <v>3</v>
      </c>
    </row>
    <row r="11" ht="15.6" spans="3:11">
      <c r="C11" s="3"/>
      <c r="D11" s="3"/>
      <c r="E11" s="3"/>
      <c r="F11" s="3"/>
      <c r="G11" s="3"/>
      <c r="H11" s="3"/>
      <c r="I11" s="3"/>
      <c r="J11" s="3"/>
      <c r="K11" s="3"/>
    </row>
    <row r="12" ht="15.6" spans="3:11">
      <c r="C12" s="3"/>
      <c r="D12" s="3"/>
      <c r="E12" s="3"/>
      <c r="F12" s="3"/>
      <c r="G12" s="3"/>
      <c r="H12" s="3"/>
      <c r="I12" s="3"/>
      <c r="J12" s="3"/>
      <c r="K12" s="3"/>
    </row>
    <row r="13" ht="15.6" spans="3:11">
      <c r="C13" s="4" t="s">
        <v>7</v>
      </c>
      <c r="D13" s="5"/>
      <c r="E13" s="5"/>
      <c r="F13" s="5"/>
      <c r="G13" s="3"/>
      <c r="H13" s="3"/>
      <c r="I13" s="3"/>
      <c r="J13" s="3"/>
      <c r="K13" s="3"/>
    </row>
    <row r="14" ht="15.6" spans="3:11">
      <c r="C14" s="6" t="s">
        <v>14</v>
      </c>
      <c r="D14" s="6" t="s">
        <v>15</v>
      </c>
      <c r="E14" s="7" t="s">
        <v>16</v>
      </c>
      <c r="F14" s="7" t="s">
        <v>17</v>
      </c>
      <c r="G14" s="3"/>
      <c r="H14" s="3"/>
      <c r="I14" s="3"/>
      <c r="J14" s="3"/>
      <c r="K14" s="3"/>
    </row>
    <row r="15" ht="15.6" spans="3:11">
      <c r="C15" s="8"/>
      <c r="D15" s="8"/>
      <c r="E15" s="9"/>
      <c r="F15" s="9"/>
      <c r="G15" s="3"/>
      <c r="H15" s="3"/>
      <c r="I15" s="3"/>
      <c r="J15" s="3"/>
      <c r="K15" s="3"/>
    </row>
    <row r="16" ht="15.6" spans="3:11">
      <c r="C16" s="10" t="s">
        <v>18</v>
      </c>
      <c r="D16" s="10" t="s">
        <v>19</v>
      </c>
      <c r="E16" s="11">
        <v>235</v>
      </c>
      <c r="F16" s="11">
        <v>92</v>
      </c>
      <c r="G16" s="3"/>
      <c r="H16" s="3"/>
      <c r="I16" s="3"/>
      <c r="J16" s="3"/>
      <c r="K16" s="3"/>
    </row>
    <row r="17" ht="15.6" spans="3:11">
      <c r="C17" s="10" t="s">
        <v>20</v>
      </c>
      <c r="D17" s="10" t="s">
        <v>5</v>
      </c>
      <c r="E17" s="11">
        <v>1</v>
      </c>
      <c r="F17" s="11">
        <v>0</v>
      </c>
      <c r="G17" s="3"/>
      <c r="H17" s="3"/>
      <c r="I17" s="3"/>
      <c r="J17" s="3"/>
      <c r="K17" s="3"/>
    </row>
    <row r="18" ht="15.6" spans="3:11">
      <c r="C18" s="10" t="s">
        <v>21</v>
      </c>
      <c r="D18" s="10" t="s">
        <v>22</v>
      </c>
      <c r="E18" s="11">
        <v>144</v>
      </c>
      <c r="F18" s="4" t="s">
        <v>8</v>
      </c>
      <c r="G18" s="3"/>
      <c r="H18" s="3"/>
      <c r="I18" s="3"/>
      <c r="J18" s="3"/>
      <c r="K18" s="3"/>
    </row>
    <row r="19" ht="15.6" spans="3:11">
      <c r="C19" s="10" t="s">
        <v>23</v>
      </c>
      <c r="D19" s="10" t="s">
        <v>24</v>
      </c>
      <c r="E19" s="11">
        <v>89</v>
      </c>
      <c r="F19" s="4" t="s">
        <v>8</v>
      </c>
      <c r="G19" s="3"/>
      <c r="H19" s="3"/>
      <c r="I19" s="3"/>
      <c r="J19" s="3"/>
      <c r="K19" s="3"/>
    </row>
    <row r="20" ht="15.6" spans="3:11">
      <c r="C20" s="12" t="s">
        <v>25</v>
      </c>
      <c r="D20" s="13" t="s">
        <v>13</v>
      </c>
      <c r="E20" s="6" t="s">
        <v>8</v>
      </c>
      <c r="F20" s="14">
        <v>0</v>
      </c>
      <c r="G20" s="3"/>
      <c r="H20" s="3"/>
      <c r="I20" s="3"/>
      <c r="J20" s="3"/>
      <c r="K20" s="3"/>
    </row>
    <row r="21" ht="15.6" spans="3:11">
      <c r="C21" s="15"/>
      <c r="D21" s="16"/>
      <c r="E21" s="8"/>
      <c r="F21" s="14"/>
      <c r="G21" s="3"/>
      <c r="H21" s="3"/>
      <c r="I21" s="3"/>
      <c r="J21" s="3"/>
      <c r="K21" s="3"/>
    </row>
    <row r="22" ht="15.6" spans="3:11">
      <c r="C22" s="3"/>
      <c r="D22" s="3"/>
      <c r="E22" s="3"/>
      <c r="F22" s="3"/>
      <c r="G22" s="3"/>
      <c r="H22" s="3"/>
      <c r="I22" s="3"/>
      <c r="J22" s="3"/>
      <c r="K22" s="3"/>
    </row>
    <row r="23" ht="15.6" spans="3:11">
      <c r="C23" s="3"/>
      <c r="D23" s="3"/>
      <c r="E23" s="3"/>
      <c r="F23" s="3"/>
      <c r="G23" s="3"/>
      <c r="H23" s="3"/>
      <c r="I23" s="3"/>
      <c r="J23" s="3"/>
      <c r="K23" s="3"/>
    </row>
  </sheetData>
  <mergeCells count="13">
    <mergeCell ref="C8:F8"/>
    <mergeCell ref="I8:K8"/>
    <mergeCell ref="C13:F13"/>
    <mergeCell ref="C14:C15"/>
    <mergeCell ref="C20:C21"/>
    <mergeCell ref="D14:D15"/>
    <mergeCell ref="D20:D21"/>
    <mergeCell ref="E14:E15"/>
    <mergeCell ref="E20:E21"/>
    <mergeCell ref="F14:F15"/>
    <mergeCell ref="F20:F21"/>
    <mergeCell ref="C3:I5"/>
    <mergeCell ref="C9:F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 urisbay</dc:creator>
  <cp:lastModifiedBy>Admin</cp:lastModifiedBy>
  <dcterms:created xsi:type="dcterms:W3CDTF">2025-04-01T16:03:00Z</dcterms:created>
  <dcterms:modified xsi:type="dcterms:W3CDTF">2025-06-02T17:55:04Z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785EADD8E2724DA98D68DB4E804A5F5A_12</vt:lpwstr>
  </property>
  <property fmtid="{D5CDD505-2E9C-101B-9397-08002B2CF9AE}" pid="3" name="KSOProductBuildVer">
    <vt:lpwstr>1049-12.2.0.21179</vt:lpwstr>
  </property>
</Properties>
</file>